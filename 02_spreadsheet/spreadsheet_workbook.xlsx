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BitSom\quickpay_data_analysis\02_spreadsheet\"/>
    </mc:Choice>
  </mc:AlternateContent>
  <xr:revisionPtr revIDLastSave="0" documentId="13_ncr:9_{B56903D3-89AD-4F48-A7D3-2663CE63FA6C}" xr6:coauthVersionLast="47" xr6:coauthVersionMax="47" xr10:uidLastSave="{00000000-0000-0000-0000-000000000000}"/>
  <bookViews>
    <workbookView xWindow="-108" yWindow="-108" windowWidth="23256" windowHeight="12456" xr2:uid="{FF2F5E8C-553B-4D0F-B4F7-F3AE42B441FF}"/>
  </bookViews>
  <sheets>
    <sheet name="transactions_raw" sheetId="1" r:id="rId1"/>
    <sheet name="merchants" sheetId="3" r:id="rId2"/>
    <sheet name="exchange_rates" sheetId="2" r:id="rId3"/>
  </sheets>
  <calcPr calcId="0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K11" i="1" s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F6" i="1" a="1"/>
  <c r="F6" i="1" s="1"/>
  <c r="E2" i="1"/>
  <c r="G2" i="1" s="1" a="1"/>
  <c r="G2" i="1" s="1"/>
  <c r="E3" i="1"/>
  <c r="G3" i="1" s="1" a="1"/>
  <c r="G3" i="1" s="1"/>
  <c r="E4" i="1"/>
  <c r="G4" i="1" s="1" a="1"/>
  <c r="G4" i="1" s="1"/>
  <c r="E5" i="1"/>
  <c r="G5" i="1" s="1" a="1"/>
  <c r="G5" i="1" s="1"/>
  <c r="E6" i="1"/>
  <c r="G6" i="1" s="1" a="1"/>
  <c r="G6" i="1" s="1"/>
  <c r="E7" i="1"/>
  <c r="G7" i="1" s="1" a="1"/>
  <c r="G7" i="1" s="1"/>
  <c r="E8" i="1"/>
  <c r="G8" i="1" s="1" a="1"/>
  <c r="G8" i="1" s="1"/>
  <c r="E9" i="1"/>
  <c r="G9" i="1" s="1" a="1"/>
  <c r="G9" i="1" s="1"/>
  <c r="E10" i="1"/>
  <c r="G10" i="1" s="1" a="1"/>
  <c r="G10" i="1" s="1"/>
  <c r="E11" i="1"/>
  <c r="G11" i="1" s="1" a="1"/>
  <c r="G11" i="1" s="1"/>
  <c r="E12" i="1"/>
  <c r="G12" i="1" s="1" a="1"/>
  <c r="G12" i="1" s="1"/>
  <c r="E13" i="1"/>
  <c r="G13" i="1" s="1" a="1"/>
  <c r="G13" i="1" s="1"/>
  <c r="E14" i="1"/>
  <c r="G14" i="1" s="1" a="1"/>
  <c r="G14" i="1" s="1"/>
  <c r="E15" i="1"/>
  <c r="G15" i="1" s="1" a="1"/>
  <c r="G15" i="1" s="1"/>
  <c r="E16" i="1"/>
  <c r="G16" i="1" s="1" a="1"/>
  <c r="G16" i="1" s="1"/>
  <c r="E17" i="1"/>
  <c r="F17" i="1" s="1" a="1"/>
  <c r="F17" i="1" s="1"/>
  <c r="E18" i="1"/>
  <c r="G18" i="1" s="1" a="1"/>
  <c r="G18" i="1" s="1"/>
  <c r="E19" i="1"/>
  <c r="G19" i="1" s="1" a="1"/>
  <c r="G19" i="1" s="1"/>
  <c r="E20" i="1"/>
  <c r="G20" i="1" s="1" a="1"/>
  <c r="G20" i="1" s="1"/>
  <c r="E21" i="1"/>
  <c r="G21" i="1" s="1" a="1"/>
  <c r="G21" i="1" s="1"/>
  <c r="E22" i="1"/>
  <c r="G22" i="1" s="1" a="1"/>
  <c r="G22" i="1" s="1"/>
  <c r="E23" i="1"/>
  <c r="G23" i="1" s="1" a="1"/>
  <c r="G23" i="1" s="1"/>
  <c r="E24" i="1"/>
  <c r="G24" i="1" s="1" a="1"/>
  <c r="G24" i="1" s="1"/>
  <c r="E25" i="1"/>
  <c r="G25" i="1" s="1" a="1"/>
  <c r="G25" i="1" s="1"/>
  <c r="E26" i="1"/>
  <c r="G26" i="1" s="1" a="1"/>
  <c r="G26" i="1" s="1"/>
  <c r="E27" i="1"/>
  <c r="G27" i="1" s="1" a="1"/>
  <c r="G27" i="1" s="1"/>
  <c r="E28" i="1"/>
  <c r="G28" i="1" s="1" a="1"/>
  <c r="G28" i="1" s="1"/>
  <c r="E29" i="1"/>
  <c r="G29" i="1" s="1" a="1"/>
  <c r="G29" i="1" s="1"/>
  <c r="E30" i="1"/>
  <c r="G30" i="1" s="1" a="1"/>
  <c r="G30" i="1" s="1"/>
  <c r="E31" i="1"/>
  <c r="G31" i="1" s="1" a="1"/>
  <c r="G31" i="1" s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K3" i="1"/>
  <c r="K19" i="1"/>
  <c r="K2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K28" i="1" l="1"/>
  <c r="K20" i="1"/>
  <c r="K12" i="1"/>
  <c r="K4" i="1"/>
  <c r="F5" i="1" a="1"/>
  <c r="F5" i="1" s="1"/>
  <c r="K30" i="1"/>
  <c r="K22" i="1"/>
  <c r="K14" i="1"/>
  <c r="K6" i="1"/>
  <c r="K29" i="1"/>
  <c r="K21" i="1"/>
  <c r="K13" i="1"/>
  <c r="K5" i="1"/>
  <c r="F25" i="1" a="1"/>
  <c r="F25" i="1" s="1"/>
  <c r="K26" i="1"/>
  <c r="K18" i="1"/>
  <c r="K10" i="1"/>
  <c r="K2" i="1"/>
  <c r="K25" i="1"/>
  <c r="K17" i="1"/>
  <c r="K9" i="1"/>
  <c r="K24" i="1"/>
  <c r="K16" i="1"/>
  <c r="K8" i="1"/>
  <c r="K31" i="1"/>
  <c r="K23" i="1"/>
  <c r="K15" i="1"/>
  <c r="K7" i="1"/>
  <c r="F15" i="1" a="1"/>
  <c r="F15" i="1" s="1"/>
  <c r="F24" i="1" a="1"/>
  <c r="F24" i="1" s="1"/>
  <c r="F14" i="1" a="1"/>
  <c r="F14" i="1" s="1"/>
  <c r="F22" i="1" a="1"/>
  <c r="F22" i="1" s="1"/>
  <c r="F13" i="1" a="1"/>
  <c r="F13" i="1" s="1"/>
  <c r="F4" i="1" a="1"/>
  <c r="F4" i="1" s="1"/>
  <c r="G17" i="1" a="1"/>
  <c r="G17" i="1" s="1"/>
  <c r="F21" i="1" a="1"/>
  <c r="F21" i="1" s="1"/>
  <c r="F12" i="1" a="1"/>
  <c r="F12" i="1" s="1"/>
  <c r="F2" i="1" a="1"/>
  <c r="F2" i="1" s="1"/>
  <c r="D25" i="1" a="1"/>
  <c r="D25" i="1" s="1"/>
  <c r="F20" i="1" a="1"/>
  <c r="F20" i="1" s="1"/>
  <c r="F10" i="1" a="1"/>
  <c r="F10" i="1" s="1"/>
  <c r="D17" i="1" a="1"/>
  <c r="D17" i="1" s="1"/>
  <c r="F18" i="1" a="1"/>
  <c r="F18" i="1" s="1"/>
  <c r="F9" i="1" a="1"/>
  <c r="F9" i="1" s="1"/>
  <c r="D9" i="1" a="1"/>
  <c r="D9" i="1" s="1"/>
  <c r="F8" i="1" a="1"/>
  <c r="F8" i="1" s="1"/>
  <c r="F26" i="1" a="1"/>
  <c r="F26" i="1" s="1"/>
  <c r="F16" i="1" a="1"/>
  <c r="F16" i="1" s="1"/>
  <c r="F7" i="1" a="1"/>
  <c r="F7" i="1" s="1"/>
  <c r="F31" i="1" a="1"/>
  <c r="F31" i="1" s="1"/>
  <c r="F23" i="1" a="1"/>
  <c r="F23" i="1" s="1"/>
  <c r="F30" i="1" a="1"/>
  <c r="F30" i="1" s="1"/>
  <c r="F29" i="1" a="1"/>
  <c r="F29" i="1" s="1"/>
  <c r="F28" i="1" a="1"/>
  <c r="F28" i="1" s="1"/>
  <c r="F27" i="1" a="1"/>
  <c r="F27" i="1" s="1"/>
  <c r="F19" i="1" a="1"/>
  <c r="F19" i="1" s="1"/>
  <c r="F11" i="1" a="1"/>
  <c r="F11" i="1" s="1"/>
  <c r="F3" i="1" a="1"/>
  <c r="F3" i="1" s="1"/>
  <c r="D24" i="1" a="1"/>
  <c r="D24" i="1" s="1"/>
  <c r="D16" i="1" a="1"/>
  <c r="D16" i="1" s="1"/>
  <c r="D8" i="1" a="1"/>
  <c r="D8" i="1" s="1"/>
  <c r="D31" i="1" a="1"/>
  <c r="D31" i="1" s="1"/>
  <c r="D23" i="1" a="1"/>
  <c r="D23" i="1" s="1"/>
  <c r="D15" i="1" a="1"/>
  <c r="D15" i="1" s="1"/>
  <c r="D7" i="1" a="1"/>
  <c r="D7" i="1" s="1"/>
  <c r="D30" i="1" a="1"/>
  <c r="D30" i="1" s="1"/>
  <c r="D22" i="1" a="1"/>
  <c r="D22" i="1" s="1"/>
  <c r="D14" i="1" a="1"/>
  <c r="D14" i="1" s="1"/>
  <c r="D6" i="1" a="1"/>
  <c r="D6" i="1" s="1"/>
  <c r="D29" i="1" a="1"/>
  <c r="D29" i="1" s="1"/>
  <c r="D21" i="1" a="1"/>
  <c r="D21" i="1" s="1"/>
  <c r="D13" i="1" a="1"/>
  <c r="D13" i="1" s="1"/>
  <c r="D5" i="1" a="1"/>
  <c r="D5" i="1" s="1"/>
  <c r="D28" i="1" a="1"/>
  <c r="D28" i="1" s="1"/>
  <c r="D20" i="1" a="1"/>
  <c r="D20" i="1" s="1"/>
  <c r="D12" i="1" a="1"/>
  <c r="D12" i="1" s="1"/>
  <c r="D4" i="1" a="1"/>
  <c r="D4" i="1" s="1"/>
  <c r="D27" i="1" a="1"/>
  <c r="D27" i="1" s="1"/>
  <c r="D19" i="1" a="1"/>
  <c r="D19" i="1" s="1"/>
  <c r="D11" i="1" a="1"/>
  <c r="D11" i="1" s="1"/>
  <c r="D3" i="1" a="1"/>
  <c r="D3" i="1" s="1"/>
  <c r="D26" i="1" a="1"/>
  <c r="D26" i="1" s="1"/>
  <c r="D18" i="1" a="1"/>
  <c r="D18" i="1" s="1"/>
  <c r="D10" i="1" a="1"/>
  <c r="D10" i="1" s="1"/>
  <c r="D2" i="1" a="1"/>
  <c r="D2" i="1" s="1"/>
</calcChain>
</file>

<file path=xl/sharedStrings.xml><?xml version="1.0" encoding="utf-8"?>
<sst xmlns="http://schemas.openxmlformats.org/spreadsheetml/2006/main" count="289" uniqueCount="135">
  <si>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</si>
  <si>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</si>
  <si>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</si>
  <si>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</si>
  <si>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</si>
  <si>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</si>
  <si>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</si>
  <si>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</si>
  <si>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</si>
  <si>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</si>
  <si>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</si>
  <si>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</si>
  <si>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</si>
  <si>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</si>
  <si>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</si>
  <si>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</si>
  <si>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</si>
  <si>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</si>
  <si>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</si>
  <si>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</si>
  <si>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</si>
  <si>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</si>
  <si>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</si>
  <si>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</si>
  <si>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</si>
  <si>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</si>
  <si>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</si>
  <si>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</si>
  <si>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</si>
  <si>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</si>
  <si>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</si>
  <si>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</si>
  <si>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</si>
  <si>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</si>
  <si>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</si>
  <si>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</si>
  <si>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</si>
  <si>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</si>
  <si>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</si>
  <si>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</si>
  <si>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</si>
  <si>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</si>
  <si>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</si>
  <si>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</si>
  <si>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</si>
  <si>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</si>
  <si>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</si>
  <si>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</si>
  <si>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</si>
  <si>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</si>
  <si>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</si>
  <si>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</si>
  <si>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</si>
  <si>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</si>
  <si>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</si>
  <si>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</si>
  <si>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</si>
  <si>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</si>
  <si>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</si>
  <si>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</si>
  <si>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</si>
  <si>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</si>
  <si>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</si>
  <si>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</si>
  <si>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</si>
  <si>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</si>
  <si>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</si>
  <si>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</si>
  <si>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</si>
  <si>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</si>
  <si>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</si>
  <si>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</si>
  <si>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</si>
  <si>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</si>
  <si>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</si>
  <si>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</si>
  <si>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</si>
  <si>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</si>
  <si>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</si>
  <si>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</si>
  <si>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</si>
  <si>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</si>
  <si>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</si>
  <si>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</si>
  <si>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</si>
  <si>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</si>
  <si>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</si>
  <si>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</si>
  <si>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</si>
  <si>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</si>
  <si>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</si>
  <si>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</si>
  <si>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</si>
  <si>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</si>
  <si>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</si>
  <si>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</si>
  <si>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</si>
  <si>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</si>
  <si>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</si>
  <si>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</si>
  <si>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</si>
  <si>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</si>
  <si>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</si>
  <si>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</si>
  <si>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</si>
  <si>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 xml:space="preserve"> alpha mart</t>
  </si>
  <si>
    <t>cleaned_merchant_name</t>
  </si>
  <si>
    <t>cleaned_status</t>
  </si>
  <si>
    <t>cleaned_risk_score</t>
  </si>
  <si>
    <t>cleaned_gateway_region</t>
  </si>
  <si>
    <t>rate_date</t>
  </si>
  <si>
    <t>usd_rate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</si>
  <si>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</si>
  <si>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</si>
  <si>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</si>
  <si>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</si>
  <si>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</si>
  <si>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</si>
  <si>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</si>
  <si>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</si>
  <si>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</si>
  <si>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</si>
  <si>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</si>
  <si>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</si>
  <si>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</si>
  <si>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</si>
  <si>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</si>
  <si>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</si>
  <si>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</si>
  <si>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</si>
  <si>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</si>
  <si>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merchant_account_manager</t>
  </si>
  <si>
    <t>high_value_flag</t>
  </si>
  <si>
    <t>amount_usd</t>
  </si>
  <si>
    <t>high_risk_flag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</si>
</sst>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9EF16-B542-4E2A-8003-E10ED0608332}" name="Table1" displayName="Table1" ref="A1:T31" totalsRowShown="0">
  <autoFilter ref="A1:T31" xr:uid="{FB99EF16-B542-4E2A-8003-E10ED0608332}"/>
  <tableColumns count="20">
    <tableColumn id="1" xr3:uid="{B0E1B166-77C6-4E70-8A88-AE0AE27680E1}" name="transaction_id"/>
    <tableColumn id="2" xr3:uid="{E5CD1849-EDBC-422C-B1B6-53478401F94D}" name="transaction_date" dataDxfId="10"/>
    <tableColumn id="3" xr3:uid="{9149841C-D491-46A9-B8BA-C2F130039803}" name="merchant_name"/>
    <tableColumn id="19" xr3:uid="{3929FEAB-C3B5-429B-B533-F718ED21A66F}" name="merchant_id" dataDxfId="5">
      <calculatedColumnFormula array="1">IFERROR(
INDEX(merchants!A:A,
MATCH(UPPER(TRIM(E2)), UPPER(TRIM(merchants!B:B)), 0)
),
"MISSING")</calculatedColumnFormula>
    </tableColumn>
    <tableColumn id="12" xr3:uid="{FE49EEF3-EFD6-4B59-9127-4D70F7E2257B}" name="cleaned_merchant_name" dataDxfId="7">
      <calculatedColumnFormula>UPPER(TRIM(C2))</calculatedColumnFormula>
    </tableColumn>
    <tableColumn id="20" xr3:uid="{1A127CC6-5802-4C0E-B8CB-309D071CE12F}" name="merchant_account_manager" dataDxfId="4">
      <calculatedColumnFormula array="1">IFERROR(
INDEX(merchants!C:C,
MATCH(UPPER(TRIM(E2)), UPPER(TRIM(merchants!B:B)), 0)
),
"MISSING")</calculatedColumnFormula>
    </tableColumn>
    <tableColumn id="18" xr3:uid="{2DBD78CE-34E8-4458-B3B0-47C46F975F5A}" name="merchant_category" dataDxfId="6">
      <calculatedColumnFormula array="1">IFERROR(
INDEX(merchants!D:D,
MATCH(UPPER(TRIM(E2)), UPPER(TRIM(merchants!B:B)), 0)
),
"MISSING")</calculatedColumnFormula>
    </tableColumn>
    <tableColumn id="4" xr3:uid="{736EBE04-CF56-4214-9B85-BF6D1D7F65FF}" name="raw_amount"/>
    <tableColumn id="5" xr3:uid="{EC7C70C9-366F-4276-A69E-8ACD192AF942}" name="currency"/>
    <tableColumn id="16" xr3:uid="{4C8A24FC-D149-4CB8-94E1-87F2DF62C0DF}" name="amount_usd" dataDxfId="8">
      <calculatedColumnFormula array="1">IFERROR(
H2 * INDEX(exchange_rates!C$2:C$100,
MATCH(1,
(exchange_rates!A$2:A$100=B2) *
(UPPER(TRIM(exchange_rates!B$2:B$100))=UPPER(TRIM(I2))),
0)
),
"MISSING")</calculatedColumnFormula>
    </tableColumn>
    <tableColumn id="21" xr3:uid="{A36A016A-7770-4323-8FA6-C47BDAB893DE}" name="high_value_flag" dataDxfId="3">
      <calculatedColumnFormula>IF(AND(R2="APAC",J2&gt;5000),1,
IF(AND(R2="EU",J2&gt;6000),1,
IF(AND(R2="US",J2&gt;7000),1,0)))</calculatedColumnFormula>
    </tableColumn>
    <tableColumn id="6" xr3:uid="{B64A6D29-3179-4C40-AAF4-FEBB6A1E649E}" name="status"/>
    <tableColumn id="13" xr3:uid="{FCC6A488-574C-4C8C-AA31-404FB429DD57}" name="cleaned_status" dataDxfId="2">
      <calculatedColumnFormula>UPPER(TRIM(L2))</calculatedColumnFormula>
    </tableColumn>
    <tableColumn id="7" xr3:uid="{5BC78E41-B7D0-42DD-A7CD-19F3F250A799}" name="risk_score"/>
    <tableColumn id="14" xr3:uid="{E5C9D5DB-D496-41E0-9019-99988A72FC4C}" name="cleaned_risk_score" dataDxfId="9">
      <calculatedColumnFormula>IFERROR(VALUE(RIGHT(N2, LEN(N2) - MAX(IFERROR(FIND(":",N2),0), IFERROR(FIND("-",N2),0)))), "MISSING")</calculatedColumnFormula>
    </tableColumn>
    <tableColumn id="22" xr3:uid="{D40A5B89-1856-4C4C-B6AE-E71EBE660271}" name="high_risk_flag" dataDxfId="1">
      <calculatedColumnFormula>IF(OR(AND(ISNUMBER(O2),O2&gt;=70),ISNUMBER(SEARCH("chargeback",M2))),1,0)</calculatedColumnFormula>
    </tableColumn>
    <tableColumn id="8" xr3:uid="{DF9B90C7-69B7-498C-A661-396D50DCB6D0}" name="gateway_region"/>
    <tableColumn id="15" xr3:uid="{41D744CA-1851-4D18-9CFD-3127967F113C}" name="cleaned_gateway_region" dataDxfId="0">
      <calculatedColumnFormula>IF(Q2="","MISSING",UPPER(TRIM(Q2)))</calculatedColumnFormula>
    </tableColumn>
    <tableColumn id="9" xr3:uid="{F104157C-5A83-40ED-9DD5-F653E30A070F}" name="user_id"/>
    <tableColumn id="10" xr3:uid="{1BD23983-8E8D-43AE-92FC-0AD988FE0CEA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B279-6857-4DDB-A268-B5EE104982B1}">
  <dimension ref="A1:T31"/>
  <sheetViews>
    <sheetView tabSelected="1" workbookViewId="0">
      <selection activeCell="O12" sqref="O12"/>
    </sheetView>
  </sheetViews>
  <sheetFormatPr defaultRowHeight="14.4" x14ac:dyDescent="0.3"/>
  <cols>
    <col min="1" max="1" width="15.33203125" bestFit="1" customWidth="1"/>
    <col min="2" max="2" width="17.5546875" bestFit="1" customWidth="1"/>
    <col min="3" max="3" width="17.21875" bestFit="1" customWidth="1"/>
    <col min="4" max="4" width="13.88671875" style="2" bestFit="1" customWidth="1"/>
    <col min="5" max="5" width="25" bestFit="1" customWidth="1"/>
    <col min="6" max="6" width="28" style="2" bestFit="1" customWidth="1"/>
    <col min="7" max="7" width="19.88671875" bestFit="1" customWidth="1"/>
    <col min="8" max="8" width="14" bestFit="1" customWidth="1"/>
    <col min="9" max="9" width="10.5546875" bestFit="1" customWidth="1"/>
    <col min="10" max="10" width="13.88671875" bestFit="1" customWidth="1"/>
    <col min="11" max="11" width="16.6640625" style="2" bestFit="1" customWidth="1"/>
    <col min="12" max="12" width="18.6640625" customWidth="1"/>
    <col min="13" max="13" width="18.6640625" bestFit="1" customWidth="1"/>
    <col min="14" max="14" width="11.5546875" bestFit="1" customWidth="1"/>
    <col min="15" max="15" width="19.21875" bestFit="1" customWidth="1"/>
    <col min="16" max="16" width="14.88671875" style="2" bestFit="1" customWidth="1"/>
    <col min="17" max="17" width="16.77734375" bestFit="1" customWidth="1"/>
    <col min="18" max="18" width="24.5546875" bestFit="1" customWidth="1"/>
    <col min="19" max="19" width="9.33203125" bestFit="1" customWidth="1"/>
    <col min="20" max="20" width="18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s="2" t="s">
        <v>112</v>
      </c>
      <c r="E1" t="s">
        <v>106</v>
      </c>
      <c r="F1" s="2" t="s">
        <v>131</v>
      </c>
      <c r="G1" s="2" t="s">
        <v>114</v>
      </c>
      <c r="H1" t="s">
        <v>3</v>
      </c>
      <c r="I1" t="s">
        <v>4</v>
      </c>
      <c r="J1" t="s">
        <v>133</v>
      </c>
      <c r="K1" s="2" t="s">
        <v>132</v>
      </c>
      <c r="L1" t="s">
        <v>5</v>
      </c>
      <c r="M1" t="s">
        <v>107</v>
      </c>
      <c r="N1" t="s">
        <v>6</v>
      </c>
      <c r="O1" t="s">
        <v>108</v>
      </c>
      <c r="P1" s="2" t="s">
        <v>134</v>
      </c>
      <c r="Q1" t="s">
        <v>7</v>
      </c>
      <c r="R1" t="s">
        <v>109</v>
      </c>
      <c r="S1" t="s">
        <v>8</v>
      </c>
      <c r="T1" t="s">
        <v>9</v>
      </c>
    </row>
    <row r="2" spans="1:20" x14ac:dyDescent="0.3">
      <c r="A2" t="s">
        <v>10</v>
      </c>
      <c r="B2" s="1">
        <v>46082</v>
      </c>
      <c r="C2" t="s">
        <v>105</v>
      </c>
      <c r="D2" s="2" t="str">
        <f t="array" ref="D2">IFERROR(
INDEX(merchants!A:A,
MATCH(UPPER(TRIM(E2)), UPPER(TRIM(merchants!B:B)), 0)
),
"MISSING")</f>
        <v>M001</v>
      </c>
      <c r="E2" t="str">
        <f t="shared" ref="E2:E31" si="0">UPPER(TRIM(C2))</f>
        <v>ALPHA MART</v>
      </c>
      <c r="F2" s="2" t="str">
        <f t="array" ref="F2">IFERROR(
INDEX(merchants!C:C,
MATCH(UPPER(TRIM(E2)), UPPER(TRIM(merchants!B:B)), 0)
),
"MISSING")</f>
        <v>Aisha Khan</v>
      </c>
      <c r="G2" s="2" t="str">
        <f t="array" ref="G2">IFERROR(
INDEX(merchants!D:D,
MATCH(UPPER(TRIM(E2)), UPPER(TRIM(merchants!B:B)), 0)
),
"MISSING")</f>
        <v>Grocery</v>
      </c>
      <c r="H2">
        <v>420000</v>
      </c>
      <c r="I2" t="s">
        <v>12</v>
      </c>
      <c r="J2">
        <f t="array" ref="J2">IFERROR(
H2 * INDEX(exchange_rates!C$2:C$100,
MATCH(1,
(exchange_rates!A$2:A$100=B2) *
(UPPER(TRIM(exchange_rates!B$2:B$100))=UPPER(TRIM(I2))),
0)
),
"MISSING")</f>
        <v>4998</v>
      </c>
      <c r="K2" s="2">
        <f t="shared" ref="K2:K31" si="1">IF(AND(R2="APAC",J2&gt;5000),1,
IF(AND(R2="EU",J2&gt;6000),1,
IF(AND(R2="US",J2&gt;7000),1,0)))</f>
        <v>0</v>
      </c>
      <c r="L2" t="s">
        <v>13</v>
      </c>
      <c r="M2" t="str">
        <f t="shared" ref="M2:M31" si="2">UPPER(TRIM(L2))</f>
        <v>CAPTURED</v>
      </c>
      <c r="N2" t="s">
        <v>14</v>
      </c>
      <c r="O2">
        <f t="shared" ref="O2:O31" si="3">IFERROR(VALUE(RIGHT(N2, LEN(N2) - MAX(IFERROR(FIND(":",N2),0), IFERROR(FIND("-",N2),0)))), "MISSING")</f>
        <v>62</v>
      </c>
      <c r="P2" s="2">
        <f t="shared" ref="P2:P31" si="4">IF(OR(AND(ISNUMBER(O2),O2&gt;=70),ISNUMBER(SEARCH("chargeback",M2))),1,0)</f>
        <v>0</v>
      </c>
      <c r="Q2" t="s">
        <v>15</v>
      </c>
      <c r="R2" t="str">
        <f t="shared" ref="R2:R31" si="5">IF(Q2="","MISSING",UPPER(TRIM(Q2)))</f>
        <v>APAC</v>
      </c>
      <c r="S2" t="s">
        <v>16</v>
      </c>
      <c r="T2" t="s">
        <v>17</v>
      </c>
    </row>
    <row r="3" spans="1:20" x14ac:dyDescent="0.3">
      <c r="A3" t="s">
        <v>18</v>
      </c>
      <c r="B3" s="1">
        <v>46082</v>
      </c>
      <c r="C3" t="s">
        <v>19</v>
      </c>
      <c r="D3" s="2" t="str">
        <f t="array" ref="D3">IFERROR(
INDEX(merchants!A:A,
MATCH(UPPER(TRIM(E3)), UPPER(TRIM(merchants!B:B)), 0)
),
"MISSING")</f>
        <v>M001</v>
      </c>
      <c r="E3" t="str">
        <f t="shared" si="0"/>
        <v>ALPHA MART</v>
      </c>
      <c r="F3" s="2" t="str">
        <f t="array" ref="F3">IFERROR(
INDEX(merchants!C:C,
MATCH(UPPER(TRIM(E3)), UPPER(TRIM(merchants!B:B)), 0)
),
"MISSING")</f>
        <v>Aisha Khan</v>
      </c>
      <c r="G3" s="2" t="str">
        <f t="array" ref="G3">IFERROR(
INDEX(merchants!D:D,
MATCH(UPPER(TRIM(E3)), UPPER(TRIM(merchants!B:B)), 0)
),
"MISSING")</f>
        <v>Grocery</v>
      </c>
      <c r="H3">
        <v>210000</v>
      </c>
      <c r="I3" t="s">
        <v>12</v>
      </c>
      <c r="J3">
        <f t="array" ref="J3">IFERROR(
H3 * INDEX(exchange_rates!C$2:C$100,
MATCH(1,
(exchange_rates!A$2:A$100=B3) *
(UPPER(TRIM(exchange_rates!B$2:B$100))=UPPER(TRIM(I3))),
0)
),
"MISSING")</f>
        <v>2499</v>
      </c>
      <c r="K3" s="2">
        <f t="shared" si="1"/>
        <v>0</v>
      </c>
      <c r="L3" t="s">
        <v>20</v>
      </c>
      <c r="M3" t="str">
        <f t="shared" si="2"/>
        <v>CAPTURED</v>
      </c>
      <c r="N3">
        <v>55</v>
      </c>
      <c r="O3">
        <f t="shared" si="3"/>
        <v>55</v>
      </c>
      <c r="P3" s="2">
        <f t="shared" si="4"/>
        <v>0</v>
      </c>
      <c r="R3" t="str">
        <f t="shared" si="5"/>
        <v>MISSING</v>
      </c>
      <c r="S3" t="s">
        <v>21</v>
      </c>
      <c r="T3" t="s">
        <v>22</v>
      </c>
    </row>
    <row r="4" spans="1:20" x14ac:dyDescent="0.3">
      <c r="A4" t="s">
        <v>23</v>
      </c>
      <c r="B4" s="1">
        <v>46082</v>
      </c>
      <c r="C4" t="s">
        <v>24</v>
      </c>
      <c r="D4" s="2" t="str">
        <f t="array" ref="D4">IFERROR(
INDEX(merchants!A:A,
MATCH(UPPER(TRIM(E4)), UPPER(TRIM(merchants!B:B)), 0)
),
"MISSING")</f>
        <v>M002</v>
      </c>
      <c r="E4" t="str">
        <f t="shared" si="0"/>
        <v>BETA STORES</v>
      </c>
      <c r="F4" s="2" t="str">
        <f t="array" ref="F4">IFERROR(
INDEX(merchants!C:C,
MATCH(UPPER(TRIM(E4)), UPPER(TRIM(merchants!B:B)), 0)
),
"MISSING")</f>
        <v>Rohan Mehta</v>
      </c>
      <c r="G4" s="2" t="str">
        <f t="array" ref="G4">IFERROR(
INDEX(merchants!D:D,
MATCH(UPPER(TRIM(E4)), UPPER(TRIM(merchants!B:B)), 0)
),
"MISSING")</f>
        <v>Electronics</v>
      </c>
      <c r="H4">
        <v>510000</v>
      </c>
      <c r="I4" t="s">
        <v>12</v>
      </c>
      <c r="J4">
        <f t="array" ref="J4">IFERROR(
H4 * INDEX(exchange_rates!C$2:C$100,
MATCH(1,
(exchange_rates!A$2:A$100=B4) *
(UPPER(TRIM(exchange_rates!B$2:B$100))=UPPER(TRIM(I4))),
0)
),
"MISSING")</f>
        <v>6069</v>
      </c>
      <c r="K4" s="2">
        <f t="shared" si="1"/>
        <v>1</v>
      </c>
      <c r="L4" t="s">
        <v>25</v>
      </c>
      <c r="M4" t="str">
        <f t="shared" si="2"/>
        <v>CAPTURED</v>
      </c>
      <c r="N4">
        <v>71</v>
      </c>
      <c r="O4">
        <f t="shared" si="3"/>
        <v>71</v>
      </c>
      <c r="P4" s="2">
        <f t="shared" si="4"/>
        <v>1</v>
      </c>
      <c r="Q4" t="s">
        <v>26</v>
      </c>
      <c r="R4" t="str">
        <f t="shared" si="5"/>
        <v>APAC</v>
      </c>
      <c r="S4" t="s">
        <v>27</v>
      </c>
      <c r="T4" t="s">
        <v>28</v>
      </c>
    </row>
    <row r="5" spans="1:20" x14ac:dyDescent="0.3">
      <c r="A5" t="s">
        <v>29</v>
      </c>
      <c r="B5" s="1">
        <v>46083</v>
      </c>
      <c r="C5" t="s">
        <v>30</v>
      </c>
      <c r="D5" s="2" t="str">
        <f t="array" ref="D5">IFERROR(
INDEX(merchants!A:A,
MATCH(UPPER(TRIM(E5)), UPPER(TRIM(merchants!B:B)), 0)
),
"MISSING")</f>
        <v>M002</v>
      </c>
      <c r="E5" t="str">
        <f t="shared" si="0"/>
        <v>BETA STORES</v>
      </c>
      <c r="F5" s="2" t="str">
        <f t="array" ref="F5">IFERROR(
INDEX(merchants!C:C,
MATCH(UPPER(TRIM(E5)), UPPER(TRIM(merchants!B:B)), 0)
),
"MISSING")</f>
        <v>Rohan Mehta</v>
      </c>
      <c r="G5" s="2" t="str">
        <f t="array" ref="G5">IFERROR(
INDEX(merchants!D:D,
MATCH(UPPER(TRIM(E5)), UPPER(TRIM(merchants!B:B)), 0)
),
"MISSING")</f>
        <v>Electronics</v>
      </c>
      <c r="H5">
        <v>160000</v>
      </c>
      <c r="I5" t="s">
        <v>12</v>
      </c>
      <c r="J5">
        <f t="array" ref="J5">IFERROR(
H5 * INDEX(exchange_rates!C$2:C$100,
MATCH(1,
(exchange_rates!A$2:A$100=B5) *
(UPPER(TRIM(exchange_rates!B$2:B$100))=UPPER(TRIM(I5))),
0)
),
"MISSING")</f>
        <v>1920</v>
      </c>
      <c r="K5" s="2">
        <f t="shared" si="1"/>
        <v>0</v>
      </c>
      <c r="L5" t="s">
        <v>31</v>
      </c>
      <c r="M5" t="str">
        <f t="shared" si="2"/>
        <v>FAILED E05 TIMEOUT</v>
      </c>
      <c r="N5">
        <v>68</v>
      </c>
      <c r="O5">
        <f t="shared" si="3"/>
        <v>68</v>
      </c>
      <c r="P5" s="2">
        <f t="shared" si="4"/>
        <v>0</v>
      </c>
      <c r="Q5" t="s">
        <v>32</v>
      </c>
      <c r="R5" t="str">
        <f t="shared" si="5"/>
        <v>APAC</v>
      </c>
      <c r="S5" t="s">
        <v>33</v>
      </c>
      <c r="T5" t="s">
        <v>22</v>
      </c>
    </row>
    <row r="6" spans="1:20" x14ac:dyDescent="0.3">
      <c r="A6" t="s">
        <v>34</v>
      </c>
      <c r="B6" s="1">
        <v>46083</v>
      </c>
      <c r="C6" t="s">
        <v>35</v>
      </c>
      <c r="D6" s="2" t="str">
        <f t="array" ref="D6">IFERROR(
INDEX(merchants!A:A,
MATCH(UPPER(TRIM(E6)), UPPER(TRIM(merchants!B:B)), 0)
),
"MISSING")</f>
        <v>M001</v>
      </c>
      <c r="E6" t="str">
        <f t="shared" si="0"/>
        <v>ALPHA MART</v>
      </c>
      <c r="F6" s="2" t="str">
        <f t="array" ref="F6">IFERROR(
INDEX(merchants!C:C,
MATCH(UPPER(TRIM(E6)), UPPER(TRIM(merchants!B:B)), 0)
),
"MISSING")</f>
        <v>Aisha Khan</v>
      </c>
      <c r="G6" s="2" t="str">
        <f t="array" ref="G6">IFERROR(
INDEX(merchants!D:D,
MATCH(UPPER(TRIM(E6)), UPPER(TRIM(merchants!B:B)), 0)
),
"MISSING")</f>
        <v>Grocery</v>
      </c>
      <c r="H6">
        <v>390000</v>
      </c>
      <c r="I6" t="s">
        <v>12</v>
      </c>
      <c r="J6">
        <f t="array" ref="J6">IFERROR(
H6 * INDEX(exchange_rates!C$2:C$100,
MATCH(1,
(exchange_rates!A$2:A$100=B6) *
(UPPER(TRIM(exchange_rates!B$2:B$100))=UPPER(TRIM(I6))),
0)
),
"MISSING")</f>
        <v>4680</v>
      </c>
      <c r="K6" s="2">
        <f t="shared" si="1"/>
        <v>0</v>
      </c>
      <c r="L6" t="s">
        <v>25</v>
      </c>
      <c r="M6" t="str">
        <f t="shared" si="2"/>
        <v>CAPTURED</v>
      </c>
      <c r="N6">
        <v>58</v>
      </c>
      <c r="O6">
        <f t="shared" si="3"/>
        <v>58</v>
      </c>
      <c r="P6" s="2">
        <f t="shared" si="4"/>
        <v>0</v>
      </c>
      <c r="R6" t="str">
        <f t="shared" si="5"/>
        <v>MISSING</v>
      </c>
      <c r="S6" t="s">
        <v>16</v>
      </c>
      <c r="T6" t="s">
        <v>17</v>
      </c>
    </row>
    <row r="7" spans="1:20" x14ac:dyDescent="0.3">
      <c r="A7" t="s">
        <v>36</v>
      </c>
      <c r="B7" s="1">
        <v>46083</v>
      </c>
      <c r="C7" t="s">
        <v>30</v>
      </c>
      <c r="D7" s="2" t="str">
        <f t="array" ref="D7">IFERROR(
INDEX(merchants!A:A,
MATCH(UPPER(TRIM(E7)), UPPER(TRIM(merchants!B:B)), 0)
),
"MISSING")</f>
        <v>M002</v>
      </c>
      <c r="E7" t="str">
        <f t="shared" si="0"/>
        <v>BETA STORES</v>
      </c>
      <c r="F7" s="2" t="str">
        <f t="array" ref="F7">IFERROR(
INDEX(merchants!C:C,
MATCH(UPPER(TRIM(E7)), UPPER(TRIM(merchants!B:B)), 0)
),
"MISSING")</f>
        <v>Rohan Mehta</v>
      </c>
      <c r="G7" s="2" t="str">
        <f t="array" ref="G7">IFERROR(
INDEX(merchants!D:D,
MATCH(UPPER(TRIM(E7)), UPPER(TRIM(merchants!B:B)), 0)
),
"MISSING")</f>
        <v>Electronics</v>
      </c>
      <c r="H7">
        <v>275000</v>
      </c>
      <c r="I7" t="s">
        <v>12</v>
      </c>
      <c r="J7">
        <f t="array" ref="J7">IFERROR(
H7 * INDEX(exchange_rates!C$2:C$100,
MATCH(1,
(exchange_rates!A$2:A$100=B7) *
(UPPER(TRIM(exchange_rates!B$2:B$100))=UPPER(TRIM(I7))),
0)
),
"MISSING")</f>
        <v>3300</v>
      </c>
      <c r="K7" s="2">
        <f t="shared" si="1"/>
        <v>0</v>
      </c>
      <c r="L7" t="s">
        <v>20</v>
      </c>
      <c r="M7" t="str">
        <f t="shared" si="2"/>
        <v>CAPTURED</v>
      </c>
      <c r="N7" t="s">
        <v>37</v>
      </c>
      <c r="O7">
        <f t="shared" si="3"/>
        <v>64</v>
      </c>
      <c r="P7" s="2">
        <f t="shared" si="4"/>
        <v>0</v>
      </c>
      <c r="R7" t="str">
        <f t="shared" si="5"/>
        <v>MISSING</v>
      </c>
      <c r="S7" t="s">
        <v>38</v>
      </c>
      <c r="T7" t="s">
        <v>39</v>
      </c>
    </row>
    <row r="8" spans="1:20" x14ac:dyDescent="0.3">
      <c r="A8" t="s">
        <v>40</v>
      </c>
      <c r="B8" s="1">
        <v>46083</v>
      </c>
      <c r="C8" t="s">
        <v>41</v>
      </c>
      <c r="D8" s="2" t="str">
        <f t="array" ref="D8">IFERROR(
INDEX(merchants!A:A,
MATCH(UPPER(TRIM(E8)), UPPER(TRIM(merchants!B:B)), 0)
),
"MISSING")</f>
        <v>M001</v>
      </c>
      <c r="E8" t="str">
        <f t="shared" si="0"/>
        <v>ALPHA MART</v>
      </c>
      <c r="F8" s="2" t="str">
        <f t="array" ref="F8">IFERROR(
INDEX(merchants!C:C,
MATCH(UPPER(TRIM(E8)), UPPER(TRIM(merchants!B:B)), 0)
),
"MISSING")</f>
        <v>Aisha Khan</v>
      </c>
      <c r="G8" s="2" t="str">
        <f t="array" ref="G8">IFERROR(
INDEX(merchants!D:D,
MATCH(UPPER(TRIM(E8)), UPPER(TRIM(merchants!B:B)), 0)
),
"MISSING")</f>
        <v>Grocery</v>
      </c>
      <c r="H8">
        <v>450000</v>
      </c>
      <c r="I8" t="s">
        <v>12</v>
      </c>
      <c r="J8">
        <f t="array" ref="J8">IFERROR(
H8 * INDEX(exchange_rates!C$2:C$100,
MATCH(1,
(exchange_rates!A$2:A$100=B8) *
(UPPER(TRIM(exchange_rates!B$2:B$100))=UPPER(TRIM(I8))),
0)
),
"MISSING")</f>
        <v>5400</v>
      </c>
      <c r="K8" s="2">
        <f t="shared" si="1"/>
        <v>1</v>
      </c>
      <c r="L8" t="s">
        <v>42</v>
      </c>
      <c r="M8" t="str">
        <f t="shared" si="2"/>
        <v>CHARGEBACK</v>
      </c>
      <c r="N8" t="s">
        <v>43</v>
      </c>
      <c r="O8">
        <f t="shared" si="3"/>
        <v>83</v>
      </c>
      <c r="P8" s="2">
        <f t="shared" si="4"/>
        <v>1</v>
      </c>
      <c r="Q8" t="s">
        <v>26</v>
      </c>
      <c r="R8" t="str">
        <f t="shared" si="5"/>
        <v>APAC</v>
      </c>
      <c r="S8" t="s">
        <v>44</v>
      </c>
      <c r="T8" t="s">
        <v>22</v>
      </c>
    </row>
    <row r="9" spans="1:20" x14ac:dyDescent="0.3">
      <c r="A9" t="s">
        <v>45</v>
      </c>
      <c r="B9" s="1">
        <v>46084</v>
      </c>
      <c r="C9" t="s">
        <v>24</v>
      </c>
      <c r="D9" s="2" t="str">
        <f t="array" ref="D9">IFERROR(
INDEX(merchants!A:A,
MATCH(UPPER(TRIM(E9)), UPPER(TRIM(merchants!B:B)), 0)
),
"MISSING")</f>
        <v>M002</v>
      </c>
      <c r="E9" t="str">
        <f t="shared" si="0"/>
        <v>BETA STORES</v>
      </c>
      <c r="F9" s="2" t="str">
        <f t="array" ref="F9">IFERROR(
INDEX(merchants!C:C,
MATCH(UPPER(TRIM(E9)), UPPER(TRIM(merchants!B:B)), 0)
),
"MISSING")</f>
        <v>Rohan Mehta</v>
      </c>
      <c r="G9" s="2" t="str">
        <f t="array" ref="G9">IFERROR(
INDEX(merchants!D:D,
MATCH(UPPER(TRIM(E9)), UPPER(TRIM(merchants!B:B)), 0)
),
"MISSING")</f>
        <v>Electronics</v>
      </c>
      <c r="H9">
        <v>340000</v>
      </c>
      <c r="I9" t="s">
        <v>12</v>
      </c>
      <c r="J9">
        <f t="array" ref="J9">IFERROR(
H9 * INDEX(exchange_rates!C$2:C$100,
MATCH(1,
(exchange_rates!A$2:A$100=B9) *
(UPPER(TRIM(exchange_rates!B$2:B$100))=UPPER(TRIM(I9))),
0)
),
"MISSING")</f>
        <v>4114</v>
      </c>
      <c r="K9" s="2">
        <f t="shared" si="1"/>
        <v>0</v>
      </c>
      <c r="L9" t="s">
        <v>20</v>
      </c>
      <c r="M9" t="str">
        <f t="shared" si="2"/>
        <v>CAPTURED</v>
      </c>
      <c r="N9">
        <v>59</v>
      </c>
      <c r="O9">
        <f t="shared" si="3"/>
        <v>59</v>
      </c>
      <c r="P9" s="2">
        <f t="shared" si="4"/>
        <v>0</v>
      </c>
      <c r="R9" t="str">
        <f t="shared" si="5"/>
        <v>MISSING</v>
      </c>
      <c r="S9" t="s">
        <v>46</v>
      </c>
      <c r="T9" t="s">
        <v>17</v>
      </c>
    </row>
    <row r="10" spans="1:20" x14ac:dyDescent="0.3">
      <c r="A10" t="s">
        <v>47</v>
      </c>
      <c r="B10" s="1">
        <v>46084</v>
      </c>
      <c r="C10" t="s">
        <v>35</v>
      </c>
      <c r="D10" s="2" t="str">
        <f t="array" ref="D10">IFERROR(
INDEX(merchants!A:A,
MATCH(UPPER(TRIM(E10)), UPPER(TRIM(merchants!B:B)), 0)
),
"MISSING")</f>
        <v>M001</v>
      </c>
      <c r="E10" t="str">
        <f t="shared" si="0"/>
        <v>ALPHA MART</v>
      </c>
      <c r="F10" s="2" t="str">
        <f t="array" ref="F10">IFERROR(
INDEX(merchants!C:C,
MATCH(UPPER(TRIM(E10)), UPPER(TRIM(merchants!B:B)), 0)
),
"MISSING")</f>
        <v>Aisha Khan</v>
      </c>
      <c r="G10" s="2" t="str">
        <f t="array" ref="G10">IFERROR(
INDEX(merchants!D:D,
MATCH(UPPER(TRIM(E10)), UPPER(TRIM(merchants!B:B)), 0)
),
"MISSING")</f>
        <v>Grocery</v>
      </c>
      <c r="H10">
        <v>125000</v>
      </c>
      <c r="I10" t="s">
        <v>12</v>
      </c>
      <c r="J10">
        <f t="array" ref="J10">IFERROR(
H10 * INDEX(exchange_rates!C$2:C$100,
MATCH(1,
(exchange_rates!A$2:A$100=B10) *
(UPPER(TRIM(exchange_rates!B$2:B$100))=UPPER(TRIM(I10))),
0)
),
"MISSING")</f>
        <v>1512.5</v>
      </c>
      <c r="K10" s="2">
        <f t="shared" si="1"/>
        <v>0</v>
      </c>
      <c r="L10" t="s">
        <v>13</v>
      </c>
      <c r="M10" t="str">
        <f t="shared" si="2"/>
        <v>CAPTURED</v>
      </c>
      <c r="N10">
        <v>46</v>
      </c>
      <c r="O10">
        <f t="shared" si="3"/>
        <v>46</v>
      </c>
      <c r="P10" s="2">
        <f t="shared" si="4"/>
        <v>0</v>
      </c>
      <c r="Q10" t="s">
        <v>15</v>
      </c>
      <c r="R10" t="str">
        <f t="shared" si="5"/>
        <v>APAC</v>
      </c>
      <c r="S10" t="s">
        <v>21</v>
      </c>
      <c r="T10" t="s">
        <v>39</v>
      </c>
    </row>
    <row r="11" spans="1:20" x14ac:dyDescent="0.3">
      <c r="A11" t="s">
        <v>48</v>
      </c>
      <c r="B11" s="1">
        <v>46084</v>
      </c>
      <c r="C11" t="s">
        <v>49</v>
      </c>
      <c r="D11" s="2" t="str">
        <f t="array" ref="D11">IFERROR(
INDEX(merchants!A:A,
MATCH(UPPER(TRIM(E11)), UPPER(TRIM(merchants!B:B)), 0)
),
"MISSING")</f>
        <v>M002</v>
      </c>
      <c r="E11" t="str">
        <f t="shared" si="0"/>
        <v>BETA STORES</v>
      </c>
      <c r="F11" s="2" t="str">
        <f t="array" ref="F11">IFERROR(
INDEX(merchants!C:C,
MATCH(UPPER(TRIM(E11)), UPPER(TRIM(merchants!B:B)), 0)
),
"MISSING")</f>
        <v>Rohan Mehta</v>
      </c>
      <c r="G11" s="2" t="str">
        <f t="array" ref="G11">IFERROR(
INDEX(merchants!D:D,
MATCH(UPPER(TRIM(E11)), UPPER(TRIM(merchants!B:B)), 0)
),
"MISSING")</f>
        <v>Electronics</v>
      </c>
      <c r="H11">
        <v>610000</v>
      </c>
      <c r="I11" t="s">
        <v>12</v>
      </c>
      <c r="J11">
        <f t="array" ref="J11">IFERROR(
H11 * INDEX(exchange_rates!C$2:C$100,
MATCH(1,
(exchange_rates!A$2:A$100=B11) *
(UPPER(TRIM(exchange_rates!B$2:B$100))=UPPER(TRIM(I11))),
0)
),
"MISSING")</f>
        <v>7381</v>
      </c>
      <c r="K11" s="2">
        <f t="shared" si="1"/>
        <v>0</v>
      </c>
      <c r="L11" t="s">
        <v>13</v>
      </c>
      <c r="M11" t="str">
        <f t="shared" si="2"/>
        <v>CAPTURED</v>
      </c>
      <c r="N11" t="s">
        <v>50</v>
      </c>
      <c r="O11">
        <f t="shared" si="3"/>
        <v>77</v>
      </c>
      <c r="P11" s="2">
        <f t="shared" si="4"/>
        <v>1</v>
      </c>
      <c r="R11" t="str">
        <f t="shared" si="5"/>
        <v>MISSING</v>
      </c>
      <c r="S11" t="s">
        <v>27</v>
      </c>
      <c r="T11" t="s">
        <v>22</v>
      </c>
    </row>
    <row r="12" spans="1:20" x14ac:dyDescent="0.3">
      <c r="A12" t="s">
        <v>51</v>
      </c>
      <c r="B12" s="1">
        <v>46084</v>
      </c>
      <c r="C12" t="s">
        <v>41</v>
      </c>
      <c r="D12" s="2" t="str">
        <f t="array" ref="D12">IFERROR(
INDEX(merchants!A:A,
MATCH(UPPER(TRIM(E12)), UPPER(TRIM(merchants!B:B)), 0)
),
"MISSING")</f>
        <v>M001</v>
      </c>
      <c r="E12" t="str">
        <f t="shared" si="0"/>
        <v>ALPHA MART</v>
      </c>
      <c r="F12" s="2" t="str">
        <f t="array" ref="F12">IFERROR(
INDEX(merchants!C:C,
MATCH(UPPER(TRIM(E12)), UPPER(TRIM(merchants!B:B)), 0)
),
"MISSING")</f>
        <v>Aisha Khan</v>
      </c>
      <c r="G12" s="2" t="str">
        <f t="array" ref="G12">IFERROR(
INDEX(merchants!D:D,
MATCH(UPPER(TRIM(E12)), UPPER(TRIM(merchants!B:B)), 0)
),
"MISSING")</f>
        <v>Grocery</v>
      </c>
      <c r="H12">
        <v>195000</v>
      </c>
      <c r="I12" t="s">
        <v>12</v>
      </c>
      <c r="J12">
        <f t="array" ref="J12">IFERROR(
H12 * INDEX(exchange_rates!C$2:C$100,
MATCH(1,
(exchange_rates!A$2:A$100=B12) *
(UPPER(TRIM(exchange_rates!B$2:B$100))=UPPER(TRIM(I12))),
0)
),
"MISSING")</f>
        <v>2359.5</v>
      </c>
      <c r="K12" s="2">
        <f t="shared" si="1"/>
        <v>0</v>
      </c>
      <c r="L12" t="s">
        <v>52</v>
      </c>
      <c r="M12" t="str">
        <f t="shared" si="2"/>
        <v>FAILED E05 TIMEOUT</v>
      </c>
      <c r="O12" t="str">
        <f t="shared" si="3"/>
        <v>MISSING</v>
      </c>
      <c r="P12" s="2">
        <f t="shared" si="4"/>
        <v>0</v>
      </c>
      <c r="R12" t="str">
        <f t="shared" si="5"/>
        <v>MISSING</v>
      </c>
      <c r="S12" t="s">
        <v>53</v>
      </c>
      <c r="T12" t="s">
        <v>17</v>
      </c>
    </row>
    <row r="13" spans="1:20" x14ac:dyDescent="0.3">
      <c r="A13" t="s">
        <v>54</v>
      </c>
      <c r="B13" s="1">
        <v>46085</v>
      </c>
      <c r="C13" t="s">
        <v>30</v>
      </c>
      <c r="D13" s="2" t="str">
        <f t="array" ref="D13">IFERROR(
INDEX(merchants!A:A,
MATCH(UPPER(TRIM(E13)), UPPER(TRIM(merchants!B:B)), 0)
),
"MISSING")</f>
        <v>M002</v>
      </c>
      <c r="E13" t="str">
        <f t="shared" si="0"/>
        <v>BETA STORES</v>
      </c>
      <c r="F13" s="2" t="str">
        <f t="array" ref="F13">IFERROR(
INDEX(merchants!C:C,
MATCH(UPPER(TRIM(E13)), UPPER(TRIM(merchants!B:B)), 0)
),
"MISSING")</f>
        <v>Rohan Mehta</v>
      </c>
      <c r="G13" s="2" t="str">
        <f t="array" ref="G13">IFERROR(
INDEX(merchants!D:D,
MATCH(UPPER(TRIM(E13)), UPPER(TRIM(merchants!B:B)), 0)
),
"MISSING")</f>
        <v>Electronics</v>
      </c>
      <c r="H13">
        <v>250000</v>
      </c>
      <c r="I13" t="s">
        <v>12</v>
      </c>
      <c r="J13">
        <f t="array" ref="J13">IFERROR(
H13 * INDEX(exchange_rates!C$2:C$100,
MATCH(1,
(exchange_rates!A$2:A$100=B13) *
(UPPER(TRIM(exchange_rates!B$2:B$100))=UPPER(TRIM(I13))),
0)
),
"MISSING")</f>
        <v>3000</v>
      </c>
      <c r="K13" s="2">
        <f t="shared" si="1"/>
        <v>0</v>
      </c>
      <c r="L13" t="s">
        <v>55</v>
      </c>
      <c r="M13" t="str">
        <f t="shared" si="2"/>
        <v>CAPTURED</v>
      </c>
      <c r="N13" t="s">
        <v>56</v>
      </c>
      <c r="O13">
        <f t="shared" si="3"/>
        <v>61</v>
      </c>
      <c r="P13" s="2">
        <f t="shared" si="4"/>
        <v>0</v>
      </c>
      <c r="Q13" t="s">
        <v>26</v>
      </c>
      <c r="R13" t="str">
        <f t="shared" si="5"/>
        <v>APAC</v>
      </c>
      <c r="S13" t="s">
        <v>57</v>
      </c>
      <c r="T13" t="s">
        <v>22</v>
      </c>
    </row>
    <row r="14" spans="1:20" x14ac:dyDescent="0.3">
      <c r="A14" t="s">
        <v>58</v>
      </c>
      <c r="B14" s="1">
        <v>46085</v>
      </c>
      <c r="C14" t="s">
        <v>11</v>
      </c>
      <c r="D14" s="2" t="str">
        <f t="array" ref="D14">IFERROR(
INDEX(merchants!A:A,
MATCH(UPPER(TRIM(E14)), UPPER(TRIM(merchants!B:B)), 0)
),
"MISSING")</f>
        <v>M001</v>
      </c>
      <c r="E14" t="str">
        <f t="shared" si="0"/>
        <v>ALPHA MART</v>
      </c>
      <c r="F14" s="2" t="str">
        <f t="array" ref="F14">IFERROR(
INDEX(merchants!C:C,
MATCH(UPPER(TRIM(E14)), UPPER(TRIM(merchants!B:B)), 0)
),
"MISSING")</f>
        <v>Aisha Khan</v>
      </c>
      <c r="G14" s="2" t="str">
        <f t="array" ref="G14">IFERROR(
INDEX(merchants!D:D,
MATCH(UPPER(TRIM(E14)), UPPER(TRIM(merchants!B:B)), 0)
),
"MISSING")</f>
        <v>Grocery</v>
      </c>
      <c r="H14">
        <v>310000</v>
      </c>
      <c r="I14" t="s">
        <v>12</v>
      </c>
      <c r="J14">
        <f t="array" ref="J14">IFERROR(
H14 * INDEX(exchange_rates!C$2:C$100,
MATCH(1,
(exchange_rates!A$2:A$100=B14) *
(UPPER(TRIM(exchange_rates!B$2:B$100))=UPPER(TRIM(I14))),
0)
),
"MISSING")</f>
        <v>3720</v>
      </c>
      <c r="K14" s="2">
        <f t="shared" si="1"/>
        <v>0</v>
      </c>
      <c r="L14" t="s">
        <v>55</v>
      </c>
      <c r="M14" t="str">
        <f t="shared" si="2"/>
        <v>CAPTURED</v>
      </c>
      <c r="N14" t="s">
        <v>59</v>
      </c>
      <c r="O14">
        <f t="shared" si="3"/>
        <v>54</v>
      </c>
      <c r="P14" s="2">
        <f t="shared" si="4"/>
        <v>0</v>
      </c>
      <c r="Q14" t="s">
        <v>15</v>
      </c>
      <c r="R14" t="str">
        <f t="shared" si="5"/>
        <v>APAC</v>
      </c>
      <c r="S14" t="s">
        <v>60</v>
      </c>
      <c r="T14" t="s">
        <v>17</v>
      </c>
    </row>
    <row r="15" spans="1:20" x14ac:dyDescent="0.3">
      <c r="A15" t="s">
        <v>61</v>
      </c>
      <c r="B15" s="1">
        <v>46085</v>
      </c>
      <c r="C15" t="s">
        <v>30</v>
      </c>
      <c r="D15" s="2" t="str">
        <f t="array" ref="D15">IFERROR(
INDEX(merchants!A:A,
MATCH(UPPER(TRIM(E15)), UPPER(TRIM(merchants!B:B)), 0)
),
"MISSING")</f>
        <v>M002</v>
      </c>
      <c r="E15" t="str">
        <f t="shared" si="0"/>
        <v>BETA STORES</v>
      </c>
      <c r="F15" s="2" t="str">
        <f t="array" ref="F15">IFERROR(
INDEX(merchants!C:C,
MATCH(UPPER(TRIM(E15)), UPPER(TRIM(merchants!B:B)), 0)
),
"MISSING")</f>
        <v>Rohan Mehta</v>
      </c>
      <c r="G15" s="2" t="str">
        <f t="array" ref="G15">IFERROR(
INDEX(merchants!D:D,
MATCH(UPPER(TRIM(E15)), UPPER(TRIM(merchants!B:B)), 0)
),
"MISSING")</f>
        <v>Electronics</v>
      </c>
      <c r="H15">
        <v>470000</v>
      </c>
      <c r="I15" t="s">
        <v>12</v>
      </c>
      <c r="J15">
        <f t="array" ref="J15">IFERROR(
H15 * INDEX(exchange_rates!C$2:C$100,
MATCH(1,
(exchange_rates!A$2:A$100=B15) *
(UPPER(TRIM(exchange_rates!B$2:B$100))=UPPER(TRIM(I15))),
0)
),
"MISSING")</f>
        <v>5640</v>
      </c>
      <c r="K15" s="2">
        <f t="shared" si="1"/>
        <v>1</v>
      </c>
      <c r="L15" t="s">
        <v>55</v>
      </c>
      <c r="M15" t="str">
        <f t="shared" si="2"/>
        <v>CAPTURED</v>
      </c>
      <c r="N15" t="s">
        <v>62</v>
      </c>
      <c r="O15">
        <f t="shared" si="3"/>
        <v>73</v>
      </c>
      <c r="P15" s="2">
        <f t="shared" si="4"/>
        <v>1</v>
      </c>
      <c r="Q15" t="s">
        <v>15</v>
      </c>
      <c r="R15" t="str">
        <f t="shared" si="5"/>
        <v>APAC</v>
      </c>
      <c r="S15" t="s">
        <v>16</v>
      </c>
      <c r="T15" t="s">
        <v>28</v>
      </c>
    </row>
    <row r="16" spans="1:20" x14ac:dyDescent="0.3">
      <c r="A16" t="s">
        <v>63</v>
      </c>
      <c r="B16" s="1">
        <v>46085</v>
      </c>
      <c r="C16" t="s">
        <v>35</v>
      </c>
      <c r="D16" s="2" t="str">
        <f t="array" ref="D16">IFERROR(
INDEX(merchants!A:A,
MATCH(UPPER(TRIM(E16)), UPPER(TRIM(merchants!B:B)), 0)
),
"MISSING")</f>
        <v>M001</v>
      </c>
      <c r="E16" t="str">
        <f t="shared" si="0"/>
        <v>ALPHA MART</v>
      </c>
      <c r="F16" s="2" t="str">
        <f t="array" ref="F16">IFERROR(
INDEX(merchants!C:C,
MATCH(UPPER(TRIM(E16)), UPPER(TRIM(merchants!B:B)), 0)
),
"MISSING")</f>
        <v>Aisha Khan</v>
      </c>
      <c r="G16" s="2" t="str">
        <f t="array" ref="G16">IFERROR(
INDEX(merchants!D:D,
MATCH(UPPER(TRIM(E16)), UPPER(TRIM(merchants!B:B)), 0)
),
"MISSING")</f>
        <v>Grocery</v>
      </c>
      <c r="H16">
        <v>130000</v>
      </c>
      <c r="I16" t="s">
        <v>12</v>
      </c>
      <c r="J16">
        <f t="array" ref="J16">IFERROR(
H16 * INDEX(exchange_rates!C$2:C$100,
MATCH(1,
(exchange_rates!A$2:A$100=B16) *
(UPPER(TRIM(exchange_rates!B$2:B$100))=UPPER(TRIM(I16))),
0)
),
"MISSING")</f>
        <v>1560</v>
      </c>
      <c r="K16" s="2">
        <f t="shared" si="1"/>
        <v>0</v>
      </c>
      <c r="L16" t="s">
        <v>13</v>
      </c>
      <c r="M16" t="str">
        <f t="shared" si="2"/>
        <v>CAPTURED</v>
      </c>
      <c r="N16" t="s">
        <v>64</v>
      </c>
      <c r="O16">
        <f t="shared" si="3"/>
        <v>52</v>
      </c>
      <c r="P16" s="2">
        <f t="shared" si="4"/>
        <v>0</v>
      </c>
      <c r="R16" t="str">
        <f t="shared" si="5"/>
        <v>MISSING</v>
      </c>
      <c r="S16" t="s">
        <v>21</v>
      </c>
      <c r="T16" t="s">
        <v>22</v>
      </c>
    </row>
    <row r="17" spans="1:20" x14ac:dyDescent="0.3">
      <c r="A17" t="s">
        <v>65</v>
      </c>
      <c r="B17" s="1">
        <v>46086</v>
      </c>
      <c r="C17" t="s">
        <v>30</v>
      </c>
      <c r="D17" s="2" t="str">
        <f t="array" ref="D17">IFERROR(
INDEX(merchants!A:A,
MATCH(UPPER(TRIM(E17)), UPPER(TRIM(merchants!B:B)), 0)
),
"MISSING")</f>
        <v>M002</v>
      </c>
      <c r="E17" t="str">
        <f t="shared" si="0"/>
        <v>BETA STORES</v>
      </c>
      <c r="F17" s="2" t="str">
        <f t="array" ref="F17">IFERROR(
INDEX(merchants!C:C,
MATCH(UPPER(TRIM(E17)), UPPER(TRIM(merchants!B:B)), 0)
),
"MISSING")</f>
        <v>Rohan Mehta</v>
      </c>
      <c r="G17" s="2" t="str">
        <f t="array" ref="G17">IFERROR(
INDEX(merchants!D:D,
MATCH(UPPER(TRIM(E17)), UPPER(TRIM(merchants!B:B)), 0)
),
"MISSING")</f>
        <v>Electronics</v>
      </c>
      <c r="H17">
        <v>220000</v>
      </c>
      <c r="I17" t="s">
        <v>12</v>
      </c>
      <c r="J17">
        <f t="array" ref="J17">IFERROR(
H17 * INDEX(exchange_rates!C$2:C$100,
MATCH(1,
(exchange_rates!A$2:A$100=B17) *
(UPPER(TRIM(exchange_rates!B$2:B$100))=UPPER(TRIM(I17))),
0)
),
"MISSING")</f>
        <v>2596</v>
      </c>
      <c r="K17" s="2">
        <f t="shared" si="1"/>
        <v>0</v>
      </c>
      <c r="L17" t="s">
        <v>66</v>
      </c>
      <c r="M17" t="str">
        <f t="shared" si="2"/>
        <v>FAILED E05 TIMEOUT</v>
      </c>
      <c r="N17" t="s">
        <v>67</v>
      </c>
      <c r="O17">
        <f t="shared" si="3"/>
        <v>69</v>
      </c>
      <c r="P17" s="2">
        <f t="shared" si="4"/>
        <v>0</v>
      </c>
      <c r="R17" t="str">
        <f t="shared" si="5"/>
        <v>MISSING</v>
      </c>
      <c r="S17" t="s">
        <v>53</v>
      </c>
      <c r="T17" t="s">
        <v>22</v>
      </c>
    </row>
    <row r="18" spans="1:20" x14ac:dyDescent="0.3">
      <c r="A18" t="s">
        <v>68</v>
      </c>
      <c r="B18" s="1">
        <v>46086</v>
      </c>
      <c r="C18" t="s">
        <v>30</v>
      </c>
      <c r="D18" s="2" t="str">
        <f t="array" ref="D18">IFERROR(
INDEX(merchants!A:A,
MATCH(UPPER(TRIM(E18)), UPPER(TRIM(merchants!B:B)), 0)
),
"MISSING")</f>
        <v>M002</v>
      </c>
      <c r="E18" t="str">
        <f t="shared" si="0"/>
        <v>BETA STORES</v>
      </c>
      <c r="F18" s="2" t="str">
        <f t="array" ref="F18">IFERROR(
INDEX(merchants!C:C,
MATCH(UPPER(TRIM(E18)), UPPER(TRIM(merchants!B:B)), 0)
),
"MISSING")</f>
        <v>Rohan Mehta</v>
      </c>
      <c r="G18" s="2" t="str">
        <f t="array" ref="G18">IFERROR(
INDEX(merchants!D:D,
MATCH(UPPER(TRIM(E18)), UPPER(TRIM(merchants!B:B)), 0)
),
"MISSING")</f>
        <v>Electronics</v>
      </c>
      <c r="H18">
        <v>180000</v>
      </c>
      <c r="I18" t="s">
        <v>12</v>
      </c>
      <c r="J18">
        <f t="array" ref="J18">IFERROR(
H18 * INDEX(exchange_rates!C$2:C$100,
MATCH(1,
(exchange_rates!A$2:A$100=B18) *
(UPPER(TRIM(exchange_rates!B$2:B$100))=UPPER(TRIM(I18))),
0)
),
"MISSING")</f>
        <v>2124</v>
      </c>
      <c r="K18" s="2">
        <f t="shared" si="1"/>
        <v>0</v>
      </c>
      <c r="L18" t="s">
        <v>69</v>
      </c>
      <c r="M18" t="str">
        <f t="shared" si="2"/>
        <v>FAILED E05 TIMEOUT</v>
      </c>
      <c r="N18" t="s">
        <v>70</v>
      </c>
      <c r="O18">
        <f t="shared" si="3"/>
        <v>72</v>
      </c>
      <c r="P18" s="2">
        <f t="shared" si="4"/>
        <v>1</v>
      </c>
      <c r="Q18" t="s">
        <v>32</v>
      </c>
      <c r="R18" t="str">
        <f t="shared" si="5"/>
        <v>APAC</v>
      </c>
      <c r="S18" t="s">
        <v>53</v>
      </c>
      <c r="T18" t="s">
        <v>22</v>
      </c>
    </row>
    <row r="19" spans="1:20" x14ac:dyDescent="0.3">
      <c r="A19" t="s">
        <v>71</v>
      </c>
      <c r="B19" s="1">
        <v>46086</v>
      </c>
      <c r="C19" t="s">
        <v>24</v>
      </c>
      <c r="D19" s="2" t="str">
        <f t="array" ref="D19">IFERROR(
INDEX(merchants!A:A,
MATCH(UPPER(TRIM(E19)), UPPER(TRIM(merchants!B:B)), 0)
),
"MISSING")</f>
        <v>M002</v>
      </c>
      <c r="E19" t="str">
        <f t="shared" si="0"/>
        <v>BETA STORES</v>
      </c>
      <c r="F19" s="2" t="str">
        <f t="array" ref="F19">IFERROR(
INDEX(merchants!C:C,
MATCH(UPPER(TRIM(E19)), UPPER(TRIM(merchants!B:B)), 0)
),
"MISSING")</f>
        <v>Rohan Mehta</v>
      </c>
      <c r="G19" s="2" t="str">
        <f t="array" ref="G19">IFERROR(
INDEX(merchants!D:D,
MATCH(UPPER(TRIM(E19)), UPPER(TRIM(merchants!B:B)), 0)
),
"MISSING")</f>
        <v>Electronics</v>
      </c>
      <c r="H19">
        <v>145000</v>
      </c>
      <c r="I19" t="s">
        <v>12</v>
      </c>
      <c r="J19">
        <f t="array" ref="J19">IFERROR(
H19 * INDEX(exchange_rates!C$2:C$100,
MATCH(1,
(exchange_rates!A$2:A$100=B19) *
(UPPER(TRIM(exchange_rates!B$2:B$100))=UPPER(TRIM(I19))),
0)
),
"MISSING")</f>
        <v>1711</v>
      </c>
      <c r="K19" s="2">
        <f t="shared" si="1"/>
        <v>0</v>
      </c>
      <c r="L19" t="s">
        <v>72</v>
      </c>
      <c r="M19" t="str">
        <f t="shared" si="2"/>
        <v>CHARGEBACK</v>
      </c>
      <c r="N19" t="s">
        <v>73</v>
      </c>
      <c r="O19">
        <f t="shared" si="3"/>
        <v>86</v>
      </c>
      <c r="P19" s="2">
        <f t="shared" si="4"/>
        <v>1</v>
      </c>
      <c r="Q19" t="s">
        <v>26</v>
      </c>
      <c r="R19" t="str">
        <f t="shared" si="5"/>
        <v>APAC</v>
      </c>
      <c r="S19" t="s">
        <v>53</v>
      </c>
      <c r="T19" t="s">
        <v>17</v>
      </c>
    </row>
    <row r="20" spans="1:20" x14ac:dyDescent="0.3">
      <c r="A20" t="s">
        <v>74</v>
      </c>
      <c r="B20" s="1">
        <v>46086</v>
      </c>
      <c r="C20" t="s">
        <v>41</v>
      </c>
      <c r="D20" s="2" t="str">
        <f t="array" ref="D20">IFERROR(
INDEX(merchants!A:A,
MATCH(UPPER(TRIM(E20)), UPPER(TRIM(merchants!B:B)), 0)
),
"MISSING")</f>
        <v>M001</v>
      </c>
      <c r="E20" t="str">
        <f t="shared" si="0"/>
        <v>ALPHA MART</v>
      </c>
      <c r="F20" s="2" t="str">
        <f t="array" ref="F20">IFERROR(
INDEX(merchants!C:C,
MATCH(UPPER(TRIM(E20)), UPPER(TRIM(merchants!B:B)), 0)
),
"MISSING")</f>
        <v>Aisha Khan</v>
      </c>
      <c r="G20" s="2" t="str">
        <f t="array" ref="G20">IFERROR(
INDEX(merchants!D:D,
MATCH(UPPER(TRIM(E20)), UPPER(TRIM(merchants!B:B)), 0)
),
"MISSING")</f>
        <v>Grocery</v>
      </c>
      <c r="H20">
        <v>260000</v>
      </c>
      <c r="I20" t="s">
        <v>12</v>
      </c>
      <c r="J20">
        <f t="array" ref="J20">IFERROR(
H20 * INDEX(exchange_rates!C$2:C$100,
MATCH(1,
(exchange_rates!A$2:A$100=B20) *
(UPPER(TRIM(exchange_rates!B$2:B$100))=UPPER(TRIM(I20))),
0)
),
"MISSING")</f>
        <v>3068</v>
      </c>
      <c r="K20" s="2">
        <f t="shared" si="1"/>
        <v>0</v>
      </c>
      <c r="L20" t="s">
        <v>69</v>
      </c>
      <c r="M20" t="str">
        <f t="shared" si="2"/>
        <v>FAILED E05 TIMEOUT</v>
      </c>
      <c r="N20" t="s">
        <v>75</v>
      </c>
      <c r="O20">
        <f t="shared" si="3"/>
        <v>67</v>
      </c>
      <c r="P20" s="2">
        <f t="shared" si="4"/>
        <v>0</v>
      </c>
      <c r="Q20" t="s">
        <v>32</v>
      </c>
      <c r="R20" t="str">
        <f t="shared" si="5"/>
        <v>APAC</v>
      </c>
      <c r="S20" t="s">
        <v>53</v>
      </c>
      <c r="T20" t="s">
        <v>39</v>
      </c>
    </row>
    <row r="21" spans="1:20" x14ac:dyDescent="0.3">
      <c r="A21" t="s">
        <v>76</v>
      </c>
      <c r="B21" s="1">
        <v>46086</v>
      </c>
      <c r="C21" t="s">
        <v>35</v>
      </c>
      <c r="D21" s="2" t="str">
        <f t="array" ref="D21">IFERROR(
INDEX(merchants!A:A,
MATCH(UPPER(TRIM(E21)), UPPER(TRIM(merchants!B:B)), 0)
),
"MISSING")</f>
        <v>M001</v>
      </c>
      <c r="E21" t="str">
        <f t="shared" si="0"/>
        <v>ALPHA MART</v>
      </c>
      <c r="F21" s="2" t="str">
        <f t="array" ref="F21">IFERROR(
INDEX(merchants!C:C,
MATCH(UPPER(TRIM(E21)), UPPER(TRIM(merchants!B:B)), 0)
),
"MISSING")</f>
        <v>Aisha Khan</v>
      </c>
      <c r="G21" s="2" t="str">
        <f t="array" ref="G21">IFERROR(
INDEX(merchants!D:D,
MATCH(UPPER(TRIM(E21)), UPPER(TRIM(merchants!B:B)), 0)
),
"MISSING")</f>
        <v>Grocery</v>
      </c>
      <c r="H21">
        <v>520000</v>
      </c>
      <c r="I21" t="s">
        <v>12</v>
      </c>
      <c r="J21">
        <f t="array" ref="J21">IFERROR(
H21 * INDEX(exchange_rates!C$2:C$100,
MATCH(1,
(exchange_rates!A$2:A$100=B21) *
(UPPER(TRIM(exchange_rates!B$2:B$100))=UPPER(TRIM(I21))),
0)
),
"MISSING")</f>
        <v>6136</v>
      </c>
      <c r="K21" s="2">
        <f t="shared" si="1"/>
        <v>1</v>
      </c>
      <c r="L21" t="s">
        <v>20</v>
      </c>
      <c r="M21" t="str">
        <f t="shared" si="2"/>
        <v>CAPTURED</v>
      </c>
      <c r="N21">
        <v>75</v>
      </c>
      <c r="O21">
        <f t="shared" si="3"/>
        <v>75</v>
      </c>
      <c r="P21" s="2">
        <f t="shared" si="4"/>
        <v>1</v>
      </c>
      <c r="Q21" t="s">
        <v>15</v>
      </c>
      <c r="R21" t="str">
        <f t="shared" si="5"/>
        <v>APAC</v>
      </c>
      <c r="S21" t="s">
        <v>38</v>
      </c>
      <c r="T21" t="s">
        <v>17</v>
      </c>
    </row>
    <row r="22" spans="1:20" x14ac:dyDescent="0.3">
      <c r="A22" t="s">
        <v>77</v>
      </c>
      <c r="B22" s="1">
        <v>46087</v>
      </c>
      <c r="C22" t="s">
        <v>78</v>
      </c>
      <c r="D22" s="2" t="str">
        <f t="array" ref="D22">IFERROR(
INDEX(merchants!A:A,
MATCH(UPPER(TRIM(E22)), UPPER(TRIM(merchants!B:B)), 0)
),
"MISSING")</f>
        <v>M002</v>
      </c>
      <c r="E22" t="str">
        <f t="shared" si="0"/>
        <v>BETA STORES</v>
      </c>
      <c r="F22" s="2" t="str">
        <f t="array" ref="F22">IFERROR(
INDEX(merchants!C:C,
MATCH(UPPER(TRIM(E22)), UPPER(TRIM(merchants!B:B)), 0)
),
"MISSING")</f>
        <v>Rohan Mehta</v>
      </c>
      <c r="G22" s="2" t="str">
        <f t="array" ref="G22">IFERROR(
INDEX(merchants!D:D,
MATCH(UPPER(TRIM(E22)), UPPER(TRIM(merchants!B:B)), 0)
),
"MISSING")</f>
        <v>Electronics</v>
      </c>
      <c r="H22">
        <v>330000</v>
      </c>
      <c r="I22" t="s">
        <v>12</v>
      </c>
      <c r="J22">
        <f t="array" ref="J22">IFERROR(
H22 * INDEX(exchange_rates!C$2:C$100,
MATCH(1,
(exchange_rates!A$2:A$100=B22) *
(UPPER(TRIM(exchange_rates!B$2:B$100))=UPPER(TRIM(I22))),
0)
),
"MISSING")</f>
        <v>3927.0000000000005</v>
      </c>
      <c r="K22" s="2">
        <f t="shared" si="1"/>
        <v>0</v>
      </c>
      <c r="L22" t="s">
        <v>55</v>
      </c>
      <c r="M22" t="str">
        <f t="shared" si="2"/>
        <v>CAPTURED</v>
      </c>
      <c r="N22" t="s">
        <v>79</v>
      </c>
      <c r="O22">
        <f t="shared" si="3"/>
        <v>63</v>
      </c>
      <c r="P22" s="2">
        <f t="shared" si="4"/>
        <v>0</v>
      </c>
      <c r="R22" t="str">
        <f t="shared" si="5"/>
        <v>MISSING</v>
      </c>
      <c r="S22" t="s">
        <v>44</v>
      </c>
      <c r="T22" t="s">
        <v>22</v>
      </c>
    </row>
    <row r="23" spans="1:20" x14ac:dyDescent="0.3">
      <c r="A23" t="s">
        <v>80</v>
      </c>
      <c r="B23" s="1">
        <v>46087</v>
      </c>
      <c r="C23" t="s">
        <v>19</v>
      </c>
      <c r="D23" s="2" t="str">
        <f t="array" ref="D23">IFERROR(
INDEX(merchants!A:A,
MATCH(UPPER(TRIM(E23)), UPPER(TRIM(merchants!B:B)), 0)
),
"MISSING")</f>
        <v>M001</v>
      </c>
      <c r="E23" t="str">
        <f t="shared" si="0"/>
        <v>ALPHA MART</v>
      </c>
      <c r="F23" s="2" t="str">
        <f t="array" ref="F23">IFERROR(
INDEX(merchants!C:C,
MATCH(UPPER(TRIM(E23)), UPPER(TRIM(merchants!B:B)), 0)
),
"MISSING")</f>
        <v>Aisha Khan</v>
      </c>
      <c r="G23" s="2" t="str">
        <f t="array" ref="G23">IFERROR(
INDEX(merchants!D:D,
MATCH(UPPER(TRIM(E23)), UPPER(TRIM(merchants!B:B)), 0)
),
"MISSING")</f>
        <v>Grocery</v>
      </c>
      <c r="H23">
        <v>410000</v>
      </c>
      <c r="I23" t="s">
        <v>12</v>
      </c>
      <c r="J23">
        <f t="array" ref="J23">IFERROR(
H23 * INDEX(exchange_rates!C$2:C$100,
MATCH(1,
(exchange_rates!A$2:A$100=B23) *
(UPPER(TRIM(exchange_rates!B$2:B$100))=UPPER(TRIM(I23))),
0)
),
"MISSING")</f>
        <v>4879</v>
      </c>
      <c r="K23" s="2">
        <f t="shared" si="1"/>
        <v>0</v>
      </c>
      <c r="L23" t="s">
        <v>55</v>
      </c>
      <c r="M23" t="str">
        <f t="shared" si="2"/>
        <v>CAPTURED</v>
      </c>
      <c r="N23">
        <v>60</v>
      </c>
      <c r="O23">
        <f t="shared" si="3"/>
        <v>60</v>
      </c>
      <c r="P23" s="2">
        <f t="shared" si="4"/>
        <v>0</v>
      </c>
      <c r="Q23" t="s">
        <v>15</v>
      </c>
      <c r="R23" t="str">
        <f t="shared" si="5"/>
        <v>APAC</v>
      </c>
      <c r="S23" t="s">
        <v>46</v>
      </c>
      <c r="T23" t="s">
        <v>17</v>
      </c>
    </row>
    <row r="24" spans="1:20" x14ac:dyDescent="0.3">
      <c r="A24" t="s">
        <v>81</v>
      </c>
      <c r="B24" s="1">
        <v>46082</v>
      </c>
      <c r="C24" t="s">
        <v>82</v>
      </c>
      <c r="D24" s="2" t="str">
        <f t="array" ref="D24">IFERROR(
INDEX(merchants!A:A,
MATCH(UPPER(TRIM(E24)), UPPER(TRIM(merchants!B:B)), 0)
),
"MISSING")</f>
        <v>M003</v>
      </c>
      <c r="E24" t="str">
        <f t="shared" si="0"/>
        <v>CITY PHARMA</v>
      </c>
      <c r="F24" s="2" t="str">
        <f t="array" ref="F24">IFERROR(
INDEX(merchants!C:C,
MATCH(UPPER(TRIM(E24)), UPPER(TRIM(merchants!B:B)), 0)
),
"MISSING")</f>
        <v>Elena Rossi</v>
      </c>
      <c r="G24" s="2" t="str">
        <f t="array" ref="G24">IFERROR(
INDEX(merchants!D:D,
MATCH(UPPER(TRIM(E24)), UPPER(TRIM(merchants!B:B)), 0)
),
"MISSING")</f>
        <v>Healthcare</v>
      </c>
      <c r="H24">
        <v>5200</v>
      </c>
      <c r="I24" t="s">
        <v>83</v>
      </c>
      <c r="J24">
        <f t="array" ref="J24">IFERROR(
H24 * INDEX(exchange_rates!C$2:C$100,
MATCH(1,
(exchange_rates!A$2:A$100=B24) *
(UPPER(TRIM(exchange_rates!B$2:B$100))=UPPER(TRIM(I24))),
0)
),
"MISSING")</f>
        <v>5616</v>
      </c>
      <c r="K24" s="2">
        <f t="shared" si="1"/>
        <v>0</v>
      </c>
      <c r="L24" t="s">
        <v>20</v>
      </c>
      <c r="M24" t="str">
        <f t="shared" si="2"/>
        <v>CAPTURED</v>
      </c>
      <c r="N24">
        <v>42</v>
      </c>
      <c r="O24">
        <f t="shared" si="3"/>
        <v>42</v>
      </c>
      <c r="P24" s="2">
        <f t="shared" si="4"/>
        <v>0</v>
      </c>
      <c r="Q24" t="s">
        <v>84</v>
      </c>
      <c r="R24" t="str">
        <f t="shared" si="5"/>
        <v>EU</v>
      </c>
      <c r="S24" t="s">
        <v>27</v>
      </c>
      <c r="T24" t="s">
        <v>22</v>
      </c>
    </row>
    <row r="25" spans="1:20" x14ac:dyDescent="0.3">
      <c r="A25" t="s">
        <v>85</v>
      </c>
      <c r="B25" s="1">
        <v>46083</v>
      </c>
      <c r="C25" t="s">
        <v>86</v>
      </c>
      <c r="D25" s="2" t="str">
        <f t="array" ref="D25">IFERROR(
INDEX(merchants!A:A,
MATCH(UPPER(TRIM(E25)), UPPER(TRIM(merchants!B:B)), 0)
),
"MISSING")</f>
        <v>M005</v>
      </c>
      <c r="E25" t="str">
        <f t="shared" si="0"/>
        <v>ECO HOME</v>
      </c>
      <c r="F25" s="2" t="str">
        <f t="array" ref="F25">IFERROR(
INDEX(merchants!C:C,
MATCH(UPPER(TRIM(E25)), UPPER(TRIM(merchants!B:B)), 0)
),
"MISSING")</f>
        <v>Nina Weber</v>
      </c>
      <c r="G25" s="2" t="str">
        <f t="array" ref="G25">IFERROR(
INDEX(merchants!D:D,
MATCH(UPPER(TRIM(E25)), UPPER(TRIM(merchants!B:B)), 0)
),
"MISSING")</f>
        <v>Home</v>
      </c>
      <c r="H25">
        <v>6100</v>
      </c>
      <c r="I25" t="s">
        <v>83</v>
      </c>
      <c r="J25">
        <f t="array" ref="J25">IFERROR(
H25 * INDEX(exchange_rates!C$2:C$100,
MATCH(1,
(exchange_rates!A$2:A$100=B25) *
(UPPER(TRIM(exchange_rates!B$2:B$100))=UPPER(TRIM(I25))),
0)
),
"MISSING")</f>
        <v>6649.0000000000009</v>
      </c>
      <c r="K25" s="2">
        <f t="shared" si="1"/>
        <v>1</v>
      </c>
      <c r="L25" t="s">
        <v>72</v>
      </c>
      <c r="M25" t="str">
        <f t="shared" si="2"/>
        <v>CHARGEBACK</v>
      </c>
      <c r="N25" t="s">
        <v>87</v>
      </c>
      <c r="O25">
        <f t="shared" si="3"/>
        <v>65</v>
      </c>
      <c r="P25" s="2">
        <f t="shared" si="4"/>
        <v>1</v>
      </c>
      <c r="Q25" t="s">
        <v>88</v>
      </c>
      <c r="R25" t="str">
        <f t="shared" si="5"/>
        <v>EU</v>
      </c>
      <c r="S25" t="s">
        <v>33</v>
      </c>
      <c r="T25" t="s">
        <v>22</v>
      </c>
    </row>
    <row r="26" spans="1:20" x14ac:dyDescent="0.3">
      <c r="A26" t="s">
        <v>89</v>
      </c>
      <c r="B26" s="1">
        <v>46084</v>
      </c>
      <c r="C26" t="s">
        <v>82</v>
      </c>
      <c r="D26" s="2" t="str">
        <f t="array" ref="D26">IFERROR(
INDEX(merchants!A:A,
MATCH(UPPER(TRIM(E26)), UPPER(TRIM(merchants!B:B)), 0)
),
"MISSING")</f>
        <v>M003</v>
      </c>
      <c r="E26" t="str">
        <f t="shared" si="0"/>
        <v>CITY PHARMA</v>
      </c>
      <c r="F26" s="2" t="str">
        <f t="array" ref="F26">IFERROR(
INDEX(merchants!C:C,
MATCH(UPPER(TRIM(E26)), UPPER(TRIM(merchants!B:B)), 0)
),
"MISSING")</f>
        <v>Elena Rossi</v>
      </c>
      <c r="G26" s="2" t="str">
        <f t="array" ref="G26">IFERROR(
INDEX(merchants!D:D,
MATCH(UPPER(TRIM(E26)), UPPER(TRIM(merchants!B:B)), 0)
),
"MISSING")</f>
        <v>Healthcare</v>
      </c>
      <c r="H26">
        <v>2800</v>
      </c>
      <c r="I26" t="s">
        <v>83</v>
      </c>
      <c r="J26">
        <f t="array" ref="J26">IFERROR(
H26 * INDEX(exchange_rates!C$2:C$100,
MATCH(1,
(exchange_rates!A$2:A$100=B26) *
(UPPER(TRIM(exchange_rates!B$2:B$100))=UPPER(TRIM(I26))),
0)
),
"MISSING")</f>
        <v>3024</v>
      </c>
      <c r="K26" s="2">
        <f t="shared" si="1"/>
        <v>0</v>
      </c>
      <c r="L26" t="s">
        <v>55</v>
      </c>
      <c r="M26" t="str">
        <f t="shared" si="2"/>
        <v>CAPTURED</v>
      </c>
      <c r="N26">
        <v>38</v>
      </c>
      <c r="O26">
        <f t="shared" si="3"/>
        <v>38</v>
      </c>
      <c r="P26" s="2">
        <f t="shared" si="4"/>
        <v>0</v>
      </c>
      <c r="Q26" t="s">
        <v>90</v>
      </c>
      <c r="R26" t="str">
        <f t="shared" si="5"/>
        <v>EU</v>
      </c>
      <c r="S26" t="s">
        <v>38</v>
      </c>
      <c r="T26" t="s">
        <v>39</v>
      </c>
    </row>
    <row r="27" spans="1:20" x14ac:dyDescent="0.3">
      <c r="A27" t="s">
        <v>91</v>
      </c>
      <c r="B27" s="1">
        <v>46086</v>
      </c>
      <c r="C27" t="s">
        <v>86</v>
      </c>
      <c r="D27" s="2" t="str">
        <f t="array" ref="D27">IFERROR(
INDEX(merchants!A:A,
MATCH(UPPER(TRIM(E27)), UPPER(TRIM(merchants!B:B)), 0)
),
"MISSING")</f>
        <v>M005</v>
      </c>
      <c r="E27" t="str">
        <f t="shared" si="0"/>
        <v>ECO HOME</v>
      </c>
      <c r="F27" s="2" t="str">
        <f t="array" ref="F27">IFERROR(
INDEX(merchants!C:C,
MATCH(UPPER(TRIM(E27)), UPPER(TRIM(merchants!B:B)), 0)
),
"MISSING")</f>
        <v>Nina Weber</v>
      </c>
      <c r="G27" s="2" t="str">
        <f t="array" ref="G27">IFERROR(
INDEX(merchants!D:D,
MATCH(UPPER(TRIM(E27)), UPPER(TRIM(merchants!B:B)), 0)
),
"MISSING")</f>
        <v>Home</v>
      </c>
      <c r="H27">
        <v>3300</v>
      </c>
      <c r="I27" t="s">
        <v>83</v>
      </c>
      <c r="J27">
        <f t="array" ref="J27">IFERROR(
H27 * INDEX(exchange_rates!C$2:C$100,
MATCH(1,
(exchange_rates!A$2:A$100=B27) *
(UPPER(TRIM(exchange_rates!B$2:B$100))=UPPER(TRIM(I27))),
0)
),
"MISSING")</f>
        <v>3597.0000000000005</v>
      </c>
      <c r="K27" s="2">
        <f t="shared" si="1"/>
        <v>0</v>
      </c>
      <c r="L27" t="s">
        <v>69</v>
      </c>
      <c r="M27" t="str">
        <f t="shared" si="2"/>
        <v>FAILED E05 TIMEOUT</v>
      </c>
      <c r="N27">
        <v>44</v>
      </c>
      <c r="O27">
        <f t="shared" si="3"/>
        <v>44</v>
      </c>
      <c r="P27" s="2">
        <f t="shared" si="4"/>
        <v>0</v>
      </c>
      <c r="Q27" t="s">
        <v>84</v>
      </c>
      <c r="R27" t="str">
        <f t="shared" si="5"/>
        <v>EU</v>
      </c>
      <c r="S27" t="s">
        <v>44</v>
      </c>
      <c r="T27" t="s">
        <v>28</v>
      </c>
    </row>
    <row r="28" spans="1:20" x14ac:dyDescent="0.3">
      <c r="A28" t="s">
        <v>92</v>
      </c>
      <c r="B28" s="1">
        <v>46082</v>
      </c>
      <c r="C28" t="s">
        <v>93</v>
      </c>
      <c r="D28" s="2" t="str">
        <f t="array" ref="D28">IFERROR(
INDEX(merchants!A:A,
MATCH(UPPER(TRIM(E28)), UPPER(TRIM(merchants!B:B)), 0)
),
"MISSING")</f>
        <v>M004</v>
      </c>
      <c r="E28" t="str">
        <f t="shared" si="0"/>
        <v>DELTA TRAVELS</v>
      </c>
      <c r="F28" s="2" t="str">
        <f t="array" ref="F28">IFERROR(
INDEX(merchants!C:C,
MATCH(UPPER(TRIM(E28)), UPPER(TRIM(merchants!B:B)), 0)
),
"MISSING")</f>
        <v>Marcus Lee</v>
      </c>
      <c r="G28" s="2" t="str">
        <f t="array" ref="G28">IFERROR(
INDEX(merchants!D:D,
MATCH(UPPER(TRIM(E28)), UPPER(TRIM(merchants!B:B)), 0)
),
"MISSING")</f>
        <v>Travel</v>
      </c>
      <c r="H28">
        <v>7200</v>
      </c>
      <c r="I28" t="s">
        <v>94</v>
      </c>
      <c r="J28">
        <f t="array" ref="J28">IFERROR(
H28 * INDEX(exchange_rates!C$2:C$100,
MATCH(1,
(exchange_rates!A$2:A$100=B28) *
(UPPER(TRIM(exchange_rates!B$2:B$100))=UPPER(TRIM(I28))),
0)
),
"MISSING")</f>
        <v>7200</v>
      </c>
      <c r="K28" s="2">
        <f t="shared" si="1"/>
        <v>1</v>
      </c>
      <c r="L28" t="s">
        <v>55</v>
      </c>
      <c r="M28" t="str">
        <f t="shared" si="2"/>
        <v>CAPTURED</v>
      </c>
      <c r="N28">
        <v>49</v>
      </c>
      <c r="O28">
        <f t="shared" si="3"/>
        <v>49</v>
      </c>
      <c r="P28" s="2">
        <f t="shared" si="4"/>
        <v>0</v>
      </c>
      <c r="Q28" t="s">
        <v>95</v>
      </c>
      <c r="R28" t="str">
        <f t="shared" si="5"/>
        <v>US</v>
      </c>
      <c r="S28" t="s">
        <v>46</v>
      </c>
      <c r="T28" t="s">
        <v>22</v>
      </c>
    </row>
    <row r="29" spans="1:20" x14ac:dyDescent="0.3">
      <c r="A29" t="s">
        <v>96</v>
      </c>
      <c r="B29" s="1">
        <v>46083</v>
      </c>
      <c r="C29" t="s">
        <v>97</v>
      </c>
      <c r="D29" s="2" t="str">
        <f t="array" ref="D29">IFERROR(
INDEX(merchants!A:A,
MATCH(UPPER(TRIM(E29)), UPPER(TRIM(merchants!B:B)), 0)
),
"MISSING")</f>
        <v>M004</v>
      </c>
      <c r="E29" t="str">
        <f t="shared" si="0"/>
        <v>DELTA TRAVELS</v>
      </c>
      <c r="F29" s="2" t="str">
        <f t="array" ref="F29">IFERROR(
INDEX(merchants!C:C,
MATCH(UPPER(TRIM(E29)), UPPER(TRIM(merchants!B:B)), 0)
),
"MISSING")</f>
        <v>Marcus Lee</v>
      </c>
      <c r="G29" s="2" t="str">
        <f t="array" ref="G29">IFERROR(
INDEX(merchants!D:D,
MATCH(UPPER(TRIM(E29)), UPPER(TRIM(merchants!B:B)), 0)
),
"MISSING")</f>
        <v>Travel</v>
      </c>
      <c r="H29">
        <v>3100</v>
      </c>
      <c r="I29" t="s">
        <v>94</v>
      </c>
      <c r="J29">
        <f t="array" ref="J29">IFERROR(
H29 * INDEX(exchange_rates!C$2:C$100,
MATCH(1,
(exchange_rates!A$2:A$100=B29) *
(UPPER(TRIM(exchange_rates!B$2:B$100))=UPPER(TRIM(I29))),
0)
),
"MISSING")</f>
        <v>3100</v>
      </c>
      <c r="K29" s="2">
        <f t="shared" si="1"/>
        <v>0</v>
      </c>
      <c r="L29" t="s">
        <v>25</v>
      </c>
      <c r="M29" t="str">
        <f t="shared" si="2"/>
        <v>CAPTURED</v>
      </c>
      <c r="N29" t="s">
        <v>98</v>
      </c>
      <c r="O29">
        <f t="shared" si="3"/>
        <v>41</v>
      </c>
      <c r="P29" s="2">
        <f t="shared" si="4"/>
        <v>0</v>
      </c>
      <c r="Q29" t="s">
        <v>99</v>
      </c>
      <c r="R29" t="str">
        <f t="shared" si="5"/>
        <v>US</v>
      </c>
      <c r="S29" t="s">
        <v>53</v>
      </c>
      <c r="T29" t="s">
        <v>22</v>
      </c>
    </row>
    <row r="30" spans="1:20" x14ac:dyDescent="0.3">
      <c r="A30" t="s">
        <v>100</v>
      </c>
      <c r="B30" s="1">
        <v>46085</v>
      </c>
      <c r="C30" t="s">
        <v>101</v>
      </c>
      <c r="D30" s="2" t="str">
        <f t="array" ref="D30">IFERROR(
INDEX(merchants!A:A,
MATCH(UPPER(TRIM(E30)), UPPER(TRIM(merchants!B:B)), 0)
),
"MISSING")</f>
        <v>M004</v>
      </c>
      <c r="E30" t="str">
        <f t="shared" si="0"/>
        <v>DELTA TRAVELS</v>
      </c>
      <c r="F30" s="2" t="str">
        <f t="array" ref="F30">IFERROR(
INDEX(merchants!C:C,
MATCH(UPPER(TRIM(E30)), UPPER(TRIM(merchants!B:B)), 0)
),
"MISSING")</f>
        <v>Marcus Lee</v>
      </c>
      <c r="G30" s="2" t="str">
        <f t="array" ref="G30">IFERROR(
INDEX(merchants!D:D,
MATCH(UPPER(TRIM(E30)), UPPER(TRIM(merchants!B:B)), 0)
),
"MISSING")</f>
        <v>Travel</v>
      </c>
      <c r="H30">
        <v>2500</v>
      </c>
      <c r="I30" t="s">
        <v>94</v>
      </c>
      <c r="J30">
        <f t="array" ref="J30">IFERROR(
H30 * INDEX(exchange_rates!C$2:C$100,
MATCH(1,
(exchange_rates!A$2:A$100=B30) *
(UPPER(TRIM(exchange_rates!B$2:B$100))=UPPER(TRIM(I30))),
0)
),
"MISSING")</f>
        <v>2500</v>
      </c>
      <c r="K30" s="2">
        <f t="shared" si="1"/>
        <v>0</v>
      </c>
      <c r="L30" t="s">
        <v>72</v>
      </c>
      <c r="M30" t="str">
        <f t="shared" si="2"/>
        <v>CHARGEBACK</v>
      </c>
      <c r="N30" t="s">
        <v>102</v>
      </c>
      <c r="O30">
        <f t="shared" si="3"/>
        <v>58</v>
      </c>
      <c r="P30" s="2">
        <f t="shared" si="4"/>
        <v>1</v>
      </c>
      <c r="Q30" t="s">
        <v>99</v>
      </c>
      <c r="R30" t="str">
        <f t="shared" si="5"/>
        <v>US</v>
      </c>
      <c r="S30" t="s">
        <v>57</v>
      </c>
      <c r="T30" t="s">
        <v>39</v>
      </c>
    </row>
    <row r="31" spans="1:20" x14ac:dyDescent="0.3">
      <c r="A31" t="s">
        <v>103</v>
      </c>
      <c r="B31" s="1">
        <v>46087</v>
      </c>
      <c r="C31" t="s">
        <v>93</v>
      </c>
      <c r="D31" s="2" t="str">
        <f t="array" ref="D31">IFERROR(
INDEX(merchants!A:A,
MATCH(UPPER(TRIM(E31)), UPPER(TRIM(merchants!B:B)), 0)
),
"MISSING")</f>
        <v>M004</v>
      </c>
      <c r="E31" t="str">
        <f t="shared" si="0"/>
        <v>DELTA TRAVELS</v>
      </c>
      <c r="F31" s="2" t="str">
        <f t="array" ref="F31">IFERROR(
INDEX(merchants!C:C,
MATCH(UPPER(TRIM(E31)), UPPER(TRIM(merchants!B:B)), 0)
),
"MISSING")</f>
        <v>Marcus Lee</v>
      </c>
      <c r="G31" s="2" t="str">
        <f t="array" ref="G31">IFERROR(
INDEX(merchants!D:D,
MATCH(UPPER(TRIM(E31)), UPPER(TRIM(merchants!B:B)), 0)
),
"MISSING")</f>
        <v>Travel</v>
      </c>
      <c r="H31">
        <v>1800</v>
      </c>
      <c r="I31" t="s">
        <v>94</v>
      </c>
      <c r="J31">
        <f t="array" ref="J31">IFERROR(
H31 * INDEX(exchange_rates!C$2:C$100,
MATCH(1,
(exchange_rates!A$2:A$100=B31) *
(UPPER(TRIM(exchange_rates!B$2:B$100))=UPPER(TRIM(I31))),
0)
),
"MISSING")</f>
        <v>1800</v>
      </c>
      <c r="K31" s="2">
        <f t="shared" si="1"/>
        <v>0</v>
      </c>
      <c r="L31" t="s">
        <v>69</v>
      </c>
      <c r="M31" t="str">
        <f t="shared" si="2"/>
        <v>FAILED E05 TIMEOUT</v>
      </c>
      <c r="N31" t="s">
        <v>104</v>
      </c>
      <c r="O31">
        <f t="shared" si="3"/>
        <v>47</v>
      </c>
      <c r="P31" s="2">
        <f t="shared" si="4"/>
        <v>0</v>
      </c>
      <c r="Q31" t="s">
        <v>99</v>
      </c>
      <c r="R31" t="str">
        <f t="shared" si="5"/>
        <v>US</v>
      </c>
      <c r="S31" t="s">
        <v>60</v>
      </c>
      <c r="T3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2C43-CC37-4EE5-9B27-FF377F504B60}">
  <dimension ref="A1:E6"/>
  <sheetViews>
    <sheetView workbookViewId="0">
      <selection activeCell="C4" sqref="A1:E6"/>
    </sheetView>
  </sheetViews>
  <sheetFormatPr defaultRowHeight="14.4" x14ac:dyDescent="0.3"/>
  <cols>
    <col min="2" max="2" width="18" customWidth="1"/>
  </cols>
  <sheetData>
    <row r="1" spans="1:5" x14ac:dyDescent="0.3">
      <c r="A1" s="2" t="s">
        <v>112</v>
      </c>
      <c r="B1" s="2" t="s">
        <v>2</v>
      </c>
      <c r="C1" s="2" t="s">
        <v>113</v>
      </c>
      <c r="D1" s="2" t="s">
        <v>114</v>
      </c>
      <c r="E1" s="2" t="s">
        <v>115</v>
      </c>
    </row>
    <row r="2" spans="1:5" x14ac:dyDescent="0.3">
      <c r="A2" s="2" t="s">
        <v>116</v>
      </c>
      <c r="B2" s="2" t="s">
        <v>35</v>
      </c>
      <c r="C2" s="2" t="s">
        <v>117</v>
      </c>
      <c r="D2" s="2" t="s">
        <v>118</v>
      </c>
      <c r="E2" s="2" t="s">
        <v>15</v>
      </c>
    </row>
    <row r="3" spans="1:5" x14ac:dyDescent="0.3">
      <c r="A3" s="2" t="s">
        <v>119</v>
      </c>
      <c r="B3" s="2" t="s">
        <v>49</v>
      </c>
      <c r="C3" s="2" t="s">
        <v>120</v>
      </c>
      <c r="D3" s="2" t="s">
        <v>121</v>
      </c>
      <c r="E3" s="2" t="s">
        <v>15</v>
      </c>
    </row>
    <row r="4" spans="1:5" x14ac:dyDescent="0.3">
      <c r="A4" s="2" t="s">
        <v>122</v>
      </c>
      <c r="B4" s="2" t="s">
        <v>82</v>
      </c>
      <c r="C4" s="2" t="s">
        <v>123</v>
      </c>
      <c r="D4" s="2" t="s">
        <v>124</v>
      </c>
      <c r="E4" s="2" t="s">
        <v>88</v>
      </c>
    </row>
    <row r="5" spans="1:5" x14ac:dyDescent="0.3">
      <c r="A5" s="2" t="s">
        <v>125</v>
      </c>
      <c r="B5" s="2" t="s">
        <v>97</v>
      </c>
      <c r="C5" s="2" t="s">
        <v>126</v>
      </c>
      <c r="D5" s="2" t="s">
        <v>127</v>
      </c>
      <c r="E5" s="2" t="s">
        <v>99</v>
      </c>
    </row>
    <row r="6" spans="1:5" x14ac:dyDescent="0.3">
      <c r="A6" s="2" t="s">
        <v>128</v>
      </c>
      <c r="B6" s="2" t="s">
        <v>86</v>
      </c>
      <c r="C6" s="2" t="s">
        <v>129</v>
      </c>
      <c r="D6" s="2" t="s">
        <v>130</v>
      </c>
      <c r="E6" s="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E523-5977-41CF-9C12-4C168AEFC497}">
  <dimension ref="A1:C19"/>
  <sheetViews>
    <sheetView workbookViewId="0">
      <selection activeCell="D14" sqref="D14"/>
    </sheetView>
  </sheetViews>
  <sheetFormatPr defaultRowHeight="14.4" x14ac:dyDescent="0.3"/>
  <cols>
    <col min="1" max="1" width="10.33203125" bestFit="1" customWidth="1"/>
    <col min="2" max="2" width="8" bestFit="1" customWidth="1"/>
    <col min="3" max="3" width="8.109375" bestFit="1" customWidth="1"/>
  </cols>
  <sheetData>
    <row r="1" spans="1:3" x14ac:dyDescent="0.3">
      <c r="A1" s="2" t="s">
        <v>110</v>
      </c>
      <c r="B1" s="2" t="s">
        <v>4</v>
      </c>
      <c r="C1" s="2" t="s">
        <v>111</v>
      </c>
    </row>
    <row r="2" spans="1:3" x14ac:dyDescent="0.3">
      <c r="A2" s="3">
        <v>46082</v>
      </c>
      <c r="B2" s="2" t="s">
        <v>12</v>
      </c>
      <c r="C2" s="2">
        <v>1.1900000000000001E-2</v>
      </c>
    </row>
    <row r="3" spans="1:3" x14ac:dyDescent="0.3">
      <c r="A3" s="3">
        <v>46082</v>
      </c>
      <c r="B3" s="2" t="s">
        <v>83</v>
      </c>
      <c r="C3" s="2">
        <v>1.08</v>
      </c>
    </row>
    <row r="4" spans="1:3" x14ac:dyDescent="0.3">
      <c r="A4" s="3">
        <v>46082</v>
      </c>
      <c r="B4" s="2" t="s">
        <v>94</v>
      </c>
      <c r="C4" s="2">
        <v>1</v>
      </c>
    </row>
    <row r="5" spans="1:3" x14ac:dyDescent="0.3">
      <c r="A5" s="3">
        <v>46083</v>
      </c>
      <c r="B5" s="2" t="s">
        <v>12</v>
      </c>
      <c r="C5" s="2">
        <v>1.2E-2</v>
      </c>
    </row>
    <row r="6" spans="1:3" x14ac:dyDescent="0.3">
      <c r="A6" s="3">
        <v>46083</v>
      </c>
      <c r="B6" s="2" t="s">
        <v>83</v>
      </c>
      <c r="C6" s="2">
        <v>1.0900000000000001</v>
      </c>
    </row>
    <row r="7" spans="1:3" x14ac:dyDescent="0.3">
      <c r="A7" s="3">
        <v>46083</v>
      </c>
      <c r="B7" s="2" t="s">
        <v>94</v>
      </c>
      <c r="C7" s="2">
        <v>1</v>
      </c>
    </row>
    <row r="8" spans="1:3" x14ac:dyDescent="0.3">
      <c r="A8" s="3">
        <v>46084</v>
      </c>
      <c r="B8" s="2" t="s">
        <v>12</v>
      </c>
      <c r="C8" s="2">
        <v>1.21E-2</v>
      </c>
    </row>
    <row r="9" spans="1:3" x14ac:dyDescent="0.3">
      <c r="A9" s="3">
        <v>46084</v>
      </c>
      <c r="B9" s="2" t="s">
        <v>83</v>
      </c>
      <c r="C9" s="2">
        <v>1.08</v>
      </c>
    </row>
    <row r="10" spans="1:3" x14ac:dyDescent="0.3">
      <c r="A10" s="3">
        <v>46084</v>
      </c>
      <c r="B10" s="2" t="s">
        <v>94</v>
      </c>
      <c r="C10" s="2">
        <v>1</v>
      </c>
    </row>
    <row r="11" spans="1:3" x14ac:dyDescent="0.3">
      <c r="A11" s="3">
        <v>46085</v>
      </c>
      <c r="B11" s="2" t="s">
        <v>12</v>
      </c>
      <c r="C11" s="2">
        <v>1.2E-2</v>
      </c>
    </row>
    <row r="12" spans="1:3" x14ac:dyDescent="0.3">
      <c r="A12" s="3">
        <v>46085</v>
      </c>
      <c r="B12" s="2" t="s">
        <v>83</v>
      </c>
      <c r="C12" s="2">
        <v>1.07</v>
      </c>
    </row>
    <row r="13" spans="1:3" x14ac:dyDescent="0.3">
      <c r="A13" s="3">
        <v>46085</v>
      </c>
      <c r="B13" s="2" t="s">
        <v>94</v>
      </c>
      <c r="C13" s="2">
        <v>1</v>
      </c>
    </row>
    <row r="14" spans="1:3" x14ac:dyDescent="0.3">
      <c r="A14" s="3">
        <v>46086</v>
      </c>
      <c r="B14" s="2" t="s">
        <v>12</v>
      </c>
      <c r="C14" s="2">
        <v>1.18E-2</v>
      </c>
    </row>
    <row r="15" spans="1:3" x14ac:dyDescent="0.3">
      <c r="A15" s="3">
        <v>46086</v>
      </c>
      <c r="B15" s="2" t="s">
        <v>83</v>
      </c>
      <c r="C15" s="2">
        <v>1.0900000000000001</v>
      </c>
    </row>
    <row r="16" spans="1:3" x14ac:dyDescent="0.3">
      <c r="A16" s="3">
        <v>46086</v>
      </c>
      <c r="B16" s="2" t="s">
        <v>94</v>
      </c>
      <c r="C16" s="2">
        <v>1</v>
      </c>
    </row>
    <row r="17" spans="1:3" x14ac:dyDescent="0.3">
      <c r="A17" s="3">
        <v>46087</v>
      </c>
      <c r="B17" s="2" t="s">
        <v>12</v>
      </c>
      <c r="C17" s="2">
        <v>1.1900000000000001E-2</v>
      </c>
    </row>
    <row r="18" spans="1:3" x14ac:dyDescent="0.3">
      <c r="A18" s="3">
        <v>46087</v>
      </c>
      <c r="B18" s="2" t="s">
        <v>83</v>
      </c>
      <c r="C18" s="2">
        <v>1.08</v>
      </c>
    </row>
    <row r="19" spans="1:3" x14ac:dyDescent="0.3">
      <c r="A19" s="3">
        <v>46087</v>
      </c>
      <c r="B19" s="2" t="s">
        <v>94</v>
      </c>
      <c r="C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transactions_raw</vt:lpstr>
      <vt:lpstr>merchants</vt:lpstr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kumar</dc:creator>
  <cp:lastModifiedBy>SHASHANK KUMAR</cp:lastModifiedBy>
  <dcterms:created xsi:type="dcterms:W3CDTF">2026-05-03T13:43:38Z</dcterms:created>
  <dcterms:modified xsi:type="dcterms:W3CDTF">2026-05-03T14:34:54Z</dcterms:modified>
</cp:coreProperties>
</file>